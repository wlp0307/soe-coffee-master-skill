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acoffee365.sharepoint.com/sites/Education-CertificateProgramsLibrary/Coffee Value Assessment/CVA for Cuppers 2.0/Processing/Simplified Chinese/"/>
    </mc:Choice>
  </mc:AlternateContent>
  <xr:revisionPtr revIDLastSave="0" documentId="13_ncr:1_{9DE6B2F4-ABE2-E142-B21F-54C771086B38}" xr6:coauthVersionLast="47" xr6:coauthVersionMax="47" xr10:uidLastSave="{00000000-0000-0000-0000-000000000000}"/>
  <bookViews>
    <workbookView xWindow="0" yWindow="760" windowWidth="30240" windowHeight="17480" firstSheet="1" activeTab="1" xr2:uid="{02C68363-3B86-9841-A02B-5687214799F0}"/>
  </bookViews>
  <sheets>
    <sheet name="Results" sheetId="3" r:id="rId1"/>
    <sheet name="Sheet1" sheetId="4" r:id="rId2"/>
    <sheet name="Sheet2" sheetId="2" r:id="rId3"/>
  </sheets>
  <definedNames>
    <definedName name="_xlnm._FilterDatabase" localSheetId="0" hidden="1">Results!$A$11:$H$29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4" l="1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11" i="4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/>
  <c r="G13" i="3"/>
  <c r="H13" i="3" s="1"/>
  <c r="U3" i="2" l="1"/>
  <c r="V3" i="2"/>
  <c r="W3" i="2"/>
  <c r="X3" i="2"/>
  <c r="U4" i="2"/>
  <c r="V4" i="2"/>
  <c r="W4" i="2"/>
  <c r="X4" i="2"/>
  <c r="U5" i="2"/>
  <c r="V5" i="2"/>
  <c r="W5" i="2"/>
  <c r="X5" i="2"/>
  <c r="U6" i="2"/>
  <c r="V6" i="2"/>
  <c r="W6" i="2"/>
  <c r="X6" i="2"/>
  <c r="U7" i="2"/>
  <c r="V7" i="2"/>
  <c r="W7" i="2"/>
  <c r="X7" i="2"/>
  <c r="X2" i="2"/>
  <c r="W2" i="2"/>
  <c r="V2" i="2"/>
  <c r="U2" i="2"/>
  <c r="B5" i="2" l="1"/>
  <c r="B2" i="2"/>
  <c r="B7" i="2"/>
  <c r="B6" i="2"/>
  <c r="B4" i="2"/>
  <c r="B3" i="2"/>
</calcChain>
</file>

<file path=xl/sharedStrings.xml><?xml version="1.0" encoding="utf-8"?>
<sst xmlns="http://schemas.openxmlformats.org/spreadsheetml/2006/main" count="79" uniqueCount="64">
  <si>
    <t>CVA for Cuppers Practical Exam - Trainer Scoresheet</t>
  </si>
  <si>
    <t>For up to 18 learners</t>
  </si>
  <si>
    <t>Date:</t>
  </si>
  <si>
    <t>Country:</t>
  </si>
  <si>
    <t>Venue:</t>
  </si>
  <si>
    <t>Taught by:</t>
  </si>
  <si>
    <t>Descriptive</t>
  </si>
  <si>
    <t xml:space="preserve">Affective </t>
  </si>
  <si>
    <t>Extrinsic</t>
  </si>
  <si>
    <t>6 pts</t>
  </si>
  <si>
    <t>7 pts</t>
  </si>
  <si>
    <t>3 pts</t>
  </si>
  <si>
    <t>`</t>
  </si>
  <si>
    <t>Aroma Reference ID</t>
  </si>
  <si>
    <t xml:space="preserve"> Intensity Scales</t>
  </si>
  <si>
    <t xml:space="preserve"> CATA Usage</t>
  </si>
  <si>
    <t xml:space="preserve">Affective Form </t>
  </si>
  <si>
    <t>Extrinsic Exercise</t>
  </si>
  <si>
    <t>Subtotal</t>
  </si>
  <si>
    <t>Result</t>
  </si>
  <si>
    <t>NOTES</t>
  </si>
  <si>
    <t>Learner</t>
  </si>
  <si>
    <t>Muestra</t>
  </si>
  <si>
    <t>PUNTEO</t>
  </si>
  <si>
    <t>Cupper 1</t>
  </si>
  <si>
    <t>Cupper 2</t>
  </si>
  <si>
    <t>Cupper 3</t>
  </si>
  <si>
    <t>Cupper 4</t>
  </si>
  <si>
    <t>Cupper 5</t>
  </si>
  <si>
    <t>Cupper 6</t>
  </si>
  <si>
    <t>Cupper 7</t>
  </si>
  <si>
    <t>Cupper 8</t>
  </si>
  <si>
    <t>Cupper 9</t>
  </si>
  <si>
    <t>Cupper 10</t>
  </si>
  <si>
    <t>Cupper 11</t>
  </si>
  <si>
    <t>Cupper 12</t>
  </si>
  <si>
    <t>Cupper 13</t>
  </si>
  <si>
    <t>Cupper 14</t>
  </si>
  <si>
    <t>Cupper 15</t>
  </si>
  <si>
    <t>Cupper 16</t>
  </si>
  <si>
    <t>Cupper 17</t>
  </si>
  <si>
    <t>Cupper 18</t>
  </si>
  <si>
    <t>Min</t>
  </si>
  <si>
    <t>Max</t>
  </si>
  <si>
    <t>Sum</t>
  </si>
  <si>
    <t>Catadores</t>
  </si>
  <si>
    <r>
      <rPr>
        <sz val="9"/>
        <rFont val="MarkOT-Medium"/>
      </rPr>
      <t xml:space="preserve"> CATA</t>
    </r>
    <r>
      <rPr>
        <b/>
        <sz val="9"/>
        <rFont val="微軟正黑體"/>
        <family val="2"/>
        <charset val="136"/>
      </rPr>
      <t>表使用</t>
    </r>
    <r>
      <rPr>
        <b/>
        <sz val="14"/>
        <rFont val="微軟正黑體"/>
        <family val="2"/>
        <charset val="136"/>
      </rPr>
      <t xml:space="preserve"> </t>
    </r>
    <r>
      <rPr>
        <sz val="7"/>
        <rFont val="MarkOT-Medium"/>
      </rPr>
      <t>CATA Usage</t>
    </r>
    <phoneticPr fontId="9" type="noConversion"/>
  </si>
  <si>
    <r>
      <rPr>
        <b/>
        <sz val="11"/>
        <rFont val="微軟正黑體"/>
        <family val="2"/>
        <charset val="136"/>
      </rPr>
      <t>日期</t>
    </r>
    <r>
      <rPr>
        <b/>
        <sz val="11"/>
        <rFont val="MarkOT-Medium"/>
      </rPr>
      <t xml:space="preserve"> </t>
    </r>
    <r>
      <rPr>
        <sz val="8"/>
        <rFont val="MarkOT-Medium"/>
      </rPr>
      <t>Date:</t>
    </r>
    <phoneticPr fontId="9" type="noConversion"/>
  </si>
  <si>
    <r>
      <rPr>
        <b/>
        <sz val="11"/>
        <rFont val="微軟正黑體"/>
        <family val="2"/>
        <charset val="136"/>
      </rPr>
      <t>国家</t>
    </r>
    <r>
      <rPr>
        <sz val="11"/>
        <rFont val="MarkOT-Medium"/>
      </rPr>
      <t xml:space="preserve"> </t>
    </r>
    <r>
      <rPr>
        <sz val="8"/>
        <rFont val="MarkOT-Medium"/>
      </rPr>
      <t>Country:</t>
    </r>
    <phoneticPr fontId="9" type="noConversion"/>
  </si>
  <si>
    <r>
      <rPr>
        <b/>
        <sz val="11"/>
        <rFont val="PMingLiU"/>
        <family val="1"/>
        <charset val="136"/>
      </rPr>
      <t>地点</t>
    </r>
    <r>
      <rPr>
        <sz val="11"/>
        <rFont val="Mark OT Medium"/>
      </rPr>
      <t xml:space="preserve"> </t>
    </r>
    <r>
      <rPr>
        <sz val="8"/>
        <rFont val="MarkOT-Medium"/>
      </rPr>
      <t>Venue:</t>
    </r>
    <phoneticPr fontId="9" type="noConversion"/>
  </si>
  <si>
    <r>
      <rPr>
        <b/>
        <sz val="11"/>
        <rFont val="微軟正黑體"/>
        <family val="2"/>
        <charset val="136"/>
      </rPr>
      <t>讲师</t>
    </r>
    <r>
      <rPr>
        <sz val="11"/>
        <rFont val="MarkOT-Medium"/>
      </rPr>
      <t xml:space="preserve"> </t>
    </r>
    <r>
      <rPr>
        <sz val="8"/>
        <rFont val="MarkOT-Medium"/>
      </rPr>
      <t>Taught by:</t>
    </r>
    <phoneticPr fontId="9" type="noConversion"/>
  </si>
  <si>
    <r>
      <rPr>
        <b/>
        <sz val="11"/>
        <rFont val="微軟正黑體"/>
        <family val="2"/>
        <charset val="136"/>
      </rPr>
      <t>学员姓名</t>
    </r>
    <r>
      <rPr>
        <b/>
        <sz val="14"/>
        <rFont val="MarkOT-Medium"/>
      </rPr>
      <t xml:space="preserve"> </t>
    </r>
    <r>
      <rPr>
        <sz val="8"/>
        <rFont val="MarkOT-Medium"/>
      </rPr>
      <t>Learner</t>
    </r>
    <phoneticPr fontId="9" type="noConversion"/>
  </si>
  <si>
    <r>
      <rPr>
        <b/>
        <sz val="9"/>
        <rFont val="微軟正黑體"/>
        <family val="2"/>
        <charset val="136"/>
      </rPr>
      <t>感官参照物分类</t>
    </r>
    <r>
      <rPr>
        <b/>
        <sz val="7"/>
        <rFont val="微軟正黑體"/>
        <family val="2"/>
        <charset val="136"/>
      </rPr>
      <t xml:space="preserve">       </t>
    </r>
    <r>
      <rPr>
        <sz val="7"/>
        <rFont val="MarkOT-Medium"/>
      </rPr>
      <t>Sensory Reference Categorization</t>
    </r>
    <phoneticPr fontId="9" type="noConversion"/>
  </si>
  <si>
    <r>
      <rPr>
        <b/>
        <sz val="9"/>
        <rFont val="微軟正黑體"/>
        <family val="2"/>
        <charset val="136"/>
      </rPr>
      <t>强度量表</t>
    </r>
    <r>
      <rPr>
        <b/>
        <sz val="7"/>
        <rFont val="微軟正黑體"/>
        <family val="2"/>
        <charset val="136"/>
      </rPr>
      <t xml:space="preserve"> </t>
    </r>
    <r>
      <rPr>
        <sz val="7"/>
        <rFont val="MarkOT-Medium"/>
      </rPr>
      <t>Intensity Scales</t>
    </r>
    <phoneticPr fontId="9" type="noConversion"/>
  </si>
  <si>
    <r>
      <rPr>
        <b/>
        <sz val="9"/>
        <rFont val="微軟正黑體"/>
        <family val="2"/>
        <charset val="136"/>
      </rPr>
      <t>情感性评估表</t>
    </r>
    <r>
      <rPr>
        <b/>
        <sz val="8"/>
        <rFont val="微軟正黑體"/>
        <family val="2"/>
        <charset val="136"/>
      </rPr>
      <t xml:space="preserve"> </t>
    </r>
    <r>
      <rPr>
        <sz val="7"/>
        <rFont val="MarkOT-Medium"/>
      </rPr>
      <t xml:space="preserve">Affective Form </t>
    </r>
    <phoneticPr fontId="9" type="noConversion"/>
  </si>
  <si>
    <r>
      <rPr>
        <b/>
        <sz val="9"/>
        <rFont val="微軟正黑體"/>
        <family val="2"/>
        <charset val="136"/>
      </rPr>
      <t>外在评估练习</t>
    </r>
    <r>
      <rPr>
        <b/>
        <sz val="7"/>
        <rFont val="微軟正黑體"/>
        <family val="2"/>
        <charset val="136"/>
      </rPr>
      <t xml:space="preserve"> </t>
    </r>
    <r>
      <rPr>
        <sz val="7"/>
        <rFont val="MarkOT-Medium"/>
      </rPr>
      <t>Extrinsic Exercise</t>
    </r>
    <phoneticPr fontId="9" type="noConversion"/>
  </si>
  <si>
    <r>
      <rPr>
        <b/>
        <sz val="11"/>
        <rFont val="微軟正黑體"/>
        <family val="2"/>
        <charset val="136"/>
      </rPr>
      <t>小计</t>
    </r>
    <r>
      <rPr>
        <sz val="8"/>
        <rFont val="微軟正黑體"/>
        <family val="2"/>
        <charset val="136"/>
      </rPr>
      <t xml:space="preserve"> </t>
    </r>
    <r>
      <rPr>
        <sz val="8"/>
        <rFont val="MarkOT-Medium"/>
      </rPr>
      <t>Subtotal</t>
    </r>
    <phoneticPr fontId="9" type="noConversion"/>
  </si>
  <si>
    <r>
      <rPr>
        <b/>
        <sz val="11"/>
        <rFont val="微軟正黑體"/>
        <family val="2"/>
        <charset val="136"/>
      </rPr>
      <t>备註</t>
    </r>
    <r>
      <rPr>
        <b/>
        <sz val="8"/>
        <rFont val="MarkOT-Medium"/>
      </rPr>
      <t xml:space="preserve"> </t>
    </r>
    <r>
      <rPr>
        <sz val="8"/>
        <rFont val="MarkOT-Medium"/>
      </rPr>
      <t>NOTES</t>
    </r>
    <phoneticPr fontId="9" type="noConversion"/>
  </si>
  <si>
    <r>
      <rPr>
        <b/>
        <sz val="11"/>
        <rFont val="微軟正黑體"/>
        <family val="2"/>
        <charset val="136"/>
      </rPr>
      <t xml:space="preserve">    结果    </t>
    </r>
    <r>
      <rPr>
        <sz val="8"/>
        <rFont val="MarkOT-Medium"/>
      </rPr>
      <t>Result</t>
    </r>
    <phoneticPr fontId="9" type="noConversion"/>
  </si>
  <si>
    <r>
      <rPr>
        <b/>
        <sz val="11"/>
        <rFont val="微軟正黑體"/>
        <family val="2"/>
        <charset val="136"/>
      </rPr>
      <t>情感性</t>
    </r>
    <r>
      <rPr>
        <sz val="8"/>
        <rFont val="MarkOT-Medium"/>
      </rPr>
      <t xml:space="preserve">Affective </t>
    </r>
    <phoneticPr fontId="9" type="noConversion"/>
  </si>
  <si>
    <r>
      <rPr>
        <b/>
        <sz val="11"/>
        <rFont val="微軟正黑體"/>
        <family val="2"/>
        <charset val="136"/>
      </rPr>
      <t>外在</t>
    </r>
    <r>
      <rPr>
        <sz val="8"/>
        <rFont val="MarkOT-Medium"/>
      </rPr>
      <t>Extrinsic</t>
    </r>
    <phoneticPr fontId="9" type="noConversion"/>
  </si>
  <si>
    <r>
      <rPr>
        <b/>
        <sz val="16"/>
        <rFont val="微軟正黑體"/>
        <family val="2"/>
        <charset val="136"/>
      </rPr>
      <t>【</t>
    </r>
    <r>
      <rPr>
        <b/>
        <sz val="16"/>
        <rFont val="MarkOT-Medium"/>
      </rPr>
      <t xml:space="preserve">CVA for Cuppers  </t>
    </r>
    <r>
      <rPr>
        <b/>
        <sz val="16"/>
        <rFont val="微軟正黑體"/>
        <family val="2"/>
        <charset val="136"/>
      </rPr>
      <t>实作测验】</t>
    </r>
    <r>
      <rPr>
        <b/>
        <sz val="16"/>
        <rFont val="MarkOT-Medium"/>
      </rPr>
      <t xml:space="preserve">- </t>
    </r>
    <r>
      <rPr>
        <b/>
        <sz val="16"/>
        <rFont val="微軟正黑體"/>
        <family val="2"/>
        <charset val="136"/>
      </rPr>
      <t>讲师评分纪录表</t>
    </r>
    <r>
      <rPr>
        <b/>
        <sz val="16"/>
        <rFont val="MarkOT-Medium"/>
      </rPr>
      <t xml:space="preserve">   </t>
    </r>
    <r>
      <rPr>
        <b/>
        <sz val="8"/>
        <rFont val="MarkOT-Medium"/>
      </rPr>
      <t>CVA for Cuppers Practical Exam - Trainer Scoresheet</t>
    </r>
    <phoneticPr fontId="9" type="noConversion"/>
  </si>
  <si>
    <r>
      <rPr>
        <i/>
        <sz val="8"/>
        <rFont val="微軟正黑體"/>
        <family val="2"/>
        <charset val="136"/>
      </rPr>
      <t xml:space="preserve">        讲师可自行选用的评估工具，最多可用于18位学员。</t>
    </r>
    <r>
      <rPr>
        <i/>
        <sz val="8"/>
        <rFont val="MarkOT-Medium"/>
      </rPr>
      <t>Optional trainer tool for up to 18 learners</t>
    </r>
    <phoneticPr fontId="9" type="noConversion"/>
  </si>
  <si>
    <r>
      <rPr>
        <b/>
        <sz val="11"/>
        <rFont val="微軟正黑體"/>
        <family val="2"/>
        <charset val="136"/>
      </rPr>
      <t xml:space="preserve">描述性 </t>
    </r>
    <r>
      <rPr>
        <sz val="8"/>
        <rFont val="MarkOT-Medium"/>
      </rPr>
      <t>Descriptive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</si>
</sst>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badi MT Condensed Light"/>
      <family val="2"/>
    </font>
    <font>
      <b/>
      <sz val="12"/>
      <color theme="1"/>
      <name val="Abadi MT Condensed Light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9"/>
      <name val="Calibri"/>
      <family val="3"/>
      <charset val="136"/>
      <scheme val="minor"/>
    </font>
    <font>
      <i/>
      <sz val="8"/>
      <name val="MarkOT-Medium"/>
    </font>
    <font>
      <b/>
      <sz val="16"/>
      <name val="微軟正黑體"/>
      <family val="2"/>
      <charset val="136"/>
    </font>
    <font>
      <i/>
      <sz val="8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28"/>
      <name val="MarkOT-Medium"/>
    </font>
    <font>
      <b/>
      <sz val="16"/>
      <name val="MarkOT-Medium"/>
    </font>
    <font>
      <sz val="12"/>
      <name val="MarkOT-Medium"/>
    </font>
    <font>
      <sz val="12"/>
      <color theme="1"/>
      <name val="MarkOT-Medium"/>
    </font>
    <font>
      <i/>
      <sz val="14"/>
      <name val="MarkOT-Medium"/>
    </font>
    <font>
      <b/>
      <sz val="14"/>
      <name val="MarkOT-Medium"/>
    </font>
    <font>
      <b/>
      <sz val="12"/>
      <name val="MarkOT-Medium"/>
    </font>
    <font>
      <b/>
      <sz val="8"/>
      <name val="MarkOT-Medium"/>
    </font>
    <font>
      <b/>
      <sz val="14"/>
      <name val="MarkOT-Medium"/>
      <family val="2"/>
      <charset val="136"/>
    </font>
    <font>
      <b/>
      <sz val="8"/>
      <name val="微軟正黑體"/>
      <family val="2"/>
      <charset val="136"/>
    </font>
    <font>
      <b/>
      <sz val="11"/>
      <name val="MarkOT-Medium"/>
    </font>
    <font>
      <b/>
      <sz val="11"/>
      <name val="微軟正黑體"/>
      <family val="2"/>
      <charset val="136"/>
    </font>
    <font>
      <b/>
      <sz val="11"/>
      <name val="MarkOT-Medium"/>
      <family val="2"/>
      <charset val="136"/>
    </font>
    <font>
      <i/>
      <sz val="8"/>
      <name val="MarkOT-Medium"/>
      <family val="2"/>
      <charset val="136"/>
    </font>
    <font>
      <b/>
      <sz val="16"/>
      <name val="MarkOT-Medium"/>
      <family val="2"/>
      <charset val="136"/>
    </font>
    <font>
      <sz val="11"/>
      <name val="MarkOT-Medium"/>
    </font>
    <font>
      <sz val="8"/>
      <name val="MarkOT-Medium"/>
    </font>
    <font>
      <sz val="8"/>
      <name val="微軟正黑體"/>
      <family val="2"/>
      <charset val="136"/>
    </font>
    <font>
      <b/>
      <sz val="9"/>
      <name val="微軟正黑體"/>
      <family val="2"/>
      <charset val="136"/>
    </font>
    <font>
      <b/>
      <sz val="7"/>
      <name val="微軟正黑體"/>
      <family val="2"/>
      <charset val="136"/>
    </font>
    <font>
      <sz val="7"/>
      <name val="MarkOT-Medium"/>
    </font>
    <font>
      <sz val="9"/>
      <name val="MarkOT-Medium"/>
    </font>
    <font>
      <sz val="11"/>
      <name val="Mark OT Medium"/>
    </font>
    <font>
      <b/>
      <sz val="11"/>
      <name val="PMingLiU"/>
      <family val="1"/>
      <charset val="136"/>
    </font>
    <font>
      <b/>
      <sz val="11"/>
      <name val="MarkOT-Medium"/>
      <family val="1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medium">
        <color theme="2" tint="-0.249977111117893"/>
      </top>
      <bottom style="medium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2" fontId="3" fillId="0" borderId="0" xfId="0" applyNumberFormat="1" applyFont="1"/>
    <xf numFmtId="0" fontId="3" fillId="0" borderId="0" xfId="0" applyFont="1"/>
    <xf numFmtId="0" fontId="0" fillId="0" borderId="0" xfId="0" applyProtection="1">
      <protection locked="0"/>
    </xf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16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16" fontId="6" fillId="0" borderId="8" xfId="0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5" fillId="0" borderId="6" xfId="0" applyFont="1" applyBorder="1" applyProtection="1"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7" fillId="0" borderId="0" xfId="0" applyFont="1" applyAlignment="1">
      <alignment vertical="top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Protection="1">
      <protection locked="0"/>
    </xf>
    <xf numFmtId="0" fontId="7" fillId="0" borderId="2" xfId="0" applyFont="1" applyBorder="1" applyAlignment="1" applyProtection="1">
      <alignment horizontal="center" wrapText="1"/>
      <protection locked="0"/>
    </xf>
    <xf numFmtId="0" fontId="7" fillId="0" borderId="7" xfId="0" applyFont="1" applyBorder="1" applyProtection="1"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14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16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Protection="1">
      <protection locked="0"/>
    </xf>
    <xf numFmtId="0" fontId="16" fillId="0" borderId="2" xfId="0" applyFont="1" applyBorder="1" applyAlignment="1" applyProtection="1">
      <alignment horizontal="center"/>
      <protection locked="0"/>
    </xf>
    <xf numFmtId="0" fontId="16" fillId="0" borderId="2" xfId="0" applyFont="1" applyBorder="1" applyAlignment="1">
      <alignment horizontal="center"/>
    </xf>
    <xf numFmtId="0" fontId="22" fillId="0" borderId="2" xfId="0" applyFont="1" applyBorder="1" applyAlignment="1" applyProtection="1">
      <alignment horizontal="center" vertical="center" wrapText="1"/>
      <protection locked="0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 applyProtection="1">
      <alignment horizontal="center" vertical="center"/>
      <protection locked="0"/>
    </xf>
    <xf numFmtId="0" fontId="18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28" fillId="0" borderId="0" xfId="0" applyFont="1"/>
    <xf numFmtId="16" fontId="30" fillId="0" borderId="8" xfId="0" applyNumberFormat="1" applyFont="1" applyBorder="1" applyAlignment="1">
      <alignment horizontal="center" wrapText="1"/>
    </xf>
    <xf numFmtId="0" fontId="30" fillId="0" borderId="8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/>
    </xf>
    <xf numFmtId="16" fontId="7" fillId="0" borderId="3" xfId="0" applyNumberFormat="1" applyFont="1" applyBorder="1" applyAlignment="1">
      <alignment horizontal="center" vertical="center" wrapText="1"/>
    </xf>
    <xf numFmtId="16" fontId="7" fillId="0" borderId="4" xfId="0" applyNumberFormat="1" applyFont="1" applyBorder="1" applyAlignment="1">
      <alignment horizontal="center" vertical="center" wrapText="1"/>
    </xf>
    <xf numFmtId="16" fontId="7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6" fontId="22" fillId="0" borderId="3" xfId="0" applyNumberFormat="1" applyFont="1" applyBorder="1" applyAlignment="1">
      <alignment horizontal="center" vertical="center" wrapText="1"/>
    </xf>
    <xf numFmtId="16" fontId="19" fillId="0" borderId="4" xfId="0" applyNumberFormat="1" applyFont="1" applyBorder="1" applyAlignment="1">
      <alignment horizontal="center" vertical="center" wrapText="1"/>
    </xf>
    <xf numFmtId="16" fontId="19" fillId="0" borderId="5" xfId="0" applyNumberFormat="1" applyFont="1" applyBorder="1" applyAlignment="1">
      <alignment horizontal="center" vertical="center" wrapText="1"/>
    </xf>
    <xf numFmtId="0" fontId="26" fillId="0" borderId="9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6" fillId="0" borderId="10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38" fillId="0" borderId="10" xfId="0" applyFont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4" fillId="0" borderId="11" xfId="0" applyFont="1" applyBorder="1" applyAlignment="1">
      <alignment vertic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2" tint="-0.249977111117893"/>
        </right>
        <top/>
        <bottom style="thin">
          <color theme="2" tint="-0.249977111117893"/>
        </bottom>
      </border>
      <protection locked="0" hidden="0"/>
    </dxf>
    <dxf>
      <border outline="0">
        <left style="medium">
          <color theme="2" tint="-0.249977111117893"/>
        </left>
        <right style="medium">
          <color theme="2" tint="-0.249977111117893"/>
        </right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border outline="0">
        <bottom style="medium">
          <color theme="2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3090B0-99AD-2244-B720-BA4C3BBE17CD}" name="Table1" displayName="Table1" ref="A11:I30" totalsRowShown="0" headerRowDxfId="18" dataDxfId="16" headerRowBorderDxfId="17" tableBorderDxfId="15">
  <tableColumns count="9">
    <tableColumn id="1" xr3:uid="{DEA8C529-477B-DD47-B756-83E8B39B561F}" name="`" dataDxfId="14"/>
    <tableColumn id="3" xr3:uid="{0E261C4B-FED7-1B49-86B9-B633A7669538}" name="Aroma Reference ID" dataDxfId="13"/>
    <tableColumn id="5" xr3:uid="{85B2BEBA-B28F-A742-A1B2-D8B5F4C67BD6}" name=" Intensity Scales" dataDxfId="12"/>
    <tableColumn id="6" xr3:uid="{27FA523E-5A8C-C448-8C90-C1EB3F6B718C}" name=" CATA Usage" dataDxfId="11"/>
    <tableColumn id="7" xr3:uid="{91D3290C-DC0F-FC4D-93C9-6FA75821CE62}" name="Affective Form " dataDxfId="10"/>
    <tableColumn id="10" xr3:uid="{2001DE0E-06D2-CB4B-A504-9BD60B079CBD}" name="Extrinsic Exercise" dataDxfId="9"/>
    <tableColumn id="2" xr3:uid="{4EC097AD-DE52-B641-8B1D-7687A3A765BD}" name="Subtotal" dataDxfId="8">
      <calculatedColumnFormula>SUM(B12:F12)</calculatedColumnFormula>
    </tableColumn>
    <tableColumn id="19" xr3:uid="{3A250ACF-F7A5-AC4B-9D8E-50E56F20AEEB}" name="Result" dataDxfId="7">
      <calculatedColumnFormula>IF(G12&lt;24,"Fail", "Pass")</calculatedColumnFormula>
    </tableColumn>
    <tableColumn id="21" xr3:uid="{0DC87855-4AD2-AE4E-B672-D8F1E9E3D35C}" name="NOTES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FA10-5494-4749-AC93-1BC65D3F2AB2}">
  <dimension ref="A1:I30"/>
  <sheetViews>
    <sheetView showGridLines="0" workbookViewId="0">
      <selection activeCell="A12" sqref="A12:I30"/>
    </sheetView>
  </sheetViews>
  <sheetFormatPr baseColWidth="10" defaultColWidth="11" defaultRowHeight="16"/>
  <cols>
    <col min="1" max="1" width="27.5" customWidth="1"/>
    <col min="2" max="2" width="17" style="1" customWidth="1"/>
    <col min="3" max="3" width="12.33203125" customWidth="1"/>
    <col min="5" max="5" width="11.6640625" customWidth="1"/>
    <col min="6" max="6" width="13.5" bestFit="1" customWidth="1"/>
    <col min="7" max="7" width="12.5" customWidth="1"/>
    <col min="8" max="8" width="10.33203125" customWidth="1"/>
    <col min="9" max="9" width="38" customWidth="1"/>
  </cols>
  <sheetData>
    <row r="1" spans="1:9" ht="20">
      <c r="A1" s="51" t="s">
        <v>0</v>
      </c>
      <c r="B1" s="51"/>
      <c r="C1" s="51"/>
      <c r="D1" s="51"/>
      <c r="E1" s="51"/>
      <c r="F1" s="51"/>
      <c r="G1" s="6"/>
      <c r="H1" s="7"/>
      <c r="I1" s="7"/>
    </row>
    <row r="2" spans="1:9" ht="18">
      <c r="A2" s="19" t="s">
        <v>1</v>
      </c>
      <c r="B2" s="8"/>
      <c r="C2" s="7"/>
      <c r="D2" s="7"/>
      <c r="E2" s="7"/>
      <c r="F2" s="7"/>
      <c r="G2" s="7"/>
      <c r="H2" s="7"/>
      <c r="I2" s="7"/>
    </row>
    <row r="3" spans="1:9" ht="18">
      <c r="A3" s="19"/>
      <c r="B3" s="8"/>
      <c r="C3" s="7"/>
      <c r="D3" s="7"/>
      <c r="E3" s="7"/>
      <c r="F3" s="7"/>
      <c r="G3" s="7"/>
      <c r="H3" s="7"/>
      <c r="I3" s="7"/>
    </row>
    <row r="4" spans="1:9" ht="16" customHeight="1">
      <c r="A4" s="47" t="s">
        <v>2</v>
      </c>
      <c r="B4" s="47"/>
      <c r="C4" s="47"/>
      <c r="D4" s="47"/>
      <c r="E4" s="7"/>
      <c r="F4" s="7"/>
      <c r="G4" s="7"/>
      <c r="H4" s="7"/>
      <c r="I4" s="7"/>
    </row>
    <row r="5" spans="1:9" ht="16" customHeight="1">
      <c r="A5" s="47" t="s">
        <v>3</v>
      </c>
      <c r="B5" s="47"/>
      <c r="C5" s="47"/>
      <c r="D5" s="47"/>
      <c r="E5" s="7"/>
      <c r="F5" s="7"/>
      <c r="G5" s="7"/>
      <c r="H5" s="7"/>
      <c r="I5" s="7"/>
    </row>
    <row r="6" spans="1:9" ht="18">
      <c r="A6" s="47" t="s">
        <v>4</v>
      </c>
      <c r="B6" s="47"/>
      <c r="C6" s="47"/>
      <c r="D6" s="47"/>
      <c r="E6" s="7"/>
      <c r="F6" s="7"/>
      <c r="G6" s="7"/>
      <c r="H6" s="7"/>
      <c r="I6" s="7"/>
    </row>
    <row r="7" spans="1:9" ht="18">
      <c r="A7" s="47" t="s">
        <v>5</v>
      </c>
      <c r="B7" s="47"/>
      <c r="C7" s="47"/>
      <c r="D7" s="47"/>
      <c r="E7" s="7"/>
      <c r="F7" s="7"/>
      <c r="G7" s="7"/>
      <c r="H7" s="7"/>
      <c r="I7" s="7"/>
    </row>
    <row r="8" spans="1:9">
      <c r="A8" s="7"/>
      <c r="B8" s="9"/>
      <c r="C8" s="10"/>
      <c r="D8" s="10"/>
      <c r="E8" s="10"/>
      <c r="F8" s="10"/>
      <c r="G8" s="10"/>
      <c r="H8" s="7"/>
      <c r="I8" s="7"/>
    </row>
    <row r="9" spans="1:9" ht="19">
      <c r="A9" s="7"/>
      <c r="B9" s="48" t="s">
        <v>6</v>
      </c>
      <c r="C9" s="49"/>
      <c r="D9" s="50"/>
      <c r="E9" s="11" t="s">
        <v>7</v>
      </c>
      <c r="F9" s="12" t="s">
        <v>8</v>
      </c>
      <c r="G9" s="13"/>
      <c r="H9" s="7"/>
      <c r="I9" s="7"/>
    </row>
    <row r="10" spans="1:9" ht="18" thickBot="1">
      <c r="A10" s="7"/>
      <c r="B10" s="14" t="s">
        <v>9</v>
      </c>
      <c r="C10" s="15" t="s">
        <v>10</v>
      </c>
      <c r="D10" s="15" t="s">
        <v>10</v>
      </c>
      <c r="E10" s="15" t="s">
        <v>10</v>
      </c>
      <c r="F10" s="15" t="s">
        <v>11</v>
      </c>
      <c r="G10" s="10"/>
      <c r="H10" s="7"/>
      <c r="I10" s="7"/>
    </row>
    <row r="11" spans="1:9" s="5" customFormat="1" ht="39" customHeight="1" thickBot="1">
      <c r="A11" s="23" t="s">
        <v>12</v>
      </c>
      <c r="B11" s="24" t="s">
        <v>13</v>
      </c>
      <c r="C11" s="24" t="s">
        <v>14</v>
      </c>
      <c r="D11" s="24" t="s">
        <v>15</v>
      </c>
      <c r="E11" s="24" t="s">
        <v>16</v>
      </c>
      <c r="F11" s="24" t="s">
        <v>17</v>
      </c>
      <c r="G11" s="24" t="s">
        <v>18</v>
      </c>
      <c r="H11" s="25" t="s">
        <v>19</v>
      </c>
      <c r="I11" s="25" t="s">
        <v>20</v>
      </c>
    </row>
    <row r="12" spans="1:9" ht="39" customHeight="1">
      <c r="A12" s="21" t="s">
        <v>21</v>
      </c>
      <c r="B12" s="22" t="s">
        <v>13</v>
      </c>
      <c r="C12" s="22" t="s">
        <v>14</v>
      </c>
      <c r="D12" s="22" t="s">
        <v>15</v>
      </c>
      <c r="E12" s="22" t="s">
        <v>16</v>
      </c>
      <c r="F12" s="16" t="s">
        <v>17</v>
      </c>
      <c r="G12" s="16" t="s">
        <v>18</v>
      </c>
      <c r="H12" s="20" t="s">
        <v>19</v>
      </c>
      <c r="I12" s="20" t="s">
        <v>20</v>
      </c>
    </row>
    <row r="13" spans="1:9">
      <c r="A13" s="17"/>
      <c r="B13" s="18">
        <v>6</v>
      </c>
      <c r="C13" s="18">
        <v>7</v>
      </c>
      <c r="D13" s="18">
        <v>7</v>
      </c>
      <c r="E13" s="18">
        <v>7</v>
      </c>
      <c r="F13" s="18">
        <v>3</v>
      </c>
      <c r="G13" s="18">
        <f t="shared" ref="G13:G30" si="0">SUM(B13:F13)</f>
        <v>30</v>
      </c>
      <c r="H13" s="18" t="str">
        <f t="shared" ref="H13:H30" si="1">IF(G13&lt;24,"Fail", "Pass")</f>
        <v>Pass</v>
      </c>
      <c r="I13" s="18"/>
    </row>
    <row r="14" spans="1:9">
      <c r="A14" s="17"/>
      <c r="B14" s="18"/>
      <c r="C14" s="18"/>
      <c r="D14" s="18"/>
      <c r="E14" s="18"/>
      <c r="F14" s="18"/>
      <c r="G14" s="18">
        <f t="shared" si="0"/>
        <v>0</v>
      </c>
      <c r="H14" s="18" t="str">
        <f t="shared" si="1"/>
        <v>Fail</v>
      </c>
      <c r="I14" s="18"/>
    </row>
    <row r="15" spans="1:9">
      <c r="A15" s="17"/>
      <c r="B15" s="18"/>
      <c r="C15" s="18"/>
      <c r="D15" s="18"/>
      <c r="E15" s="18"/>
      <c r="F15" s="18"/>
      <c r="G15" s="18">
        <f t="shared" si="0"/>
        <v>0</v>
      </c>
      <c r="H15" s="18" t="str">
        <f t="shared" si="1"/>
        <v>Fail</v>
      </c>
      <c r="I15" s="18"/>
    </row>
    <row r="16" spans="1:9">
      <c r="A16" s="17"/>
      <c r="B16" s="18"/>
      <c r="C16" s="18"/>
      <c r="D16" s="18"/>
      <c r="E16" s="18"/>
      <c r="F16" s="18"/>
      <c r="G16" s="18">
        <f t="shared" si="0"/>
        <v>0</v>
      </c>
      <c r="H16" s="18" t="str">
        <f t="shared" si="1"/>
        <v>Fail</v>
      </c>
      <c r="I16" s="18"/>
    </row>
    <row r="17" spans="1:9">
      <c r="A17" s="17"/>
      <c r="B17" s="18"/>
      <c r="C17" s="18"/>
      <c r="D17" s="18"/>
      <c r="E17" s="18"/>
      <c r="F17" s="18"/>
      <c r="G17" s="18">
        <f t="shared" si="0"/>
        <v>0</v>
      </c>
      <c r="H17" s="18" t="str">
        <f t="shared" si="1"/>
        <v>Fail</v>
      </c>
      <c r="I17" s="18"/>
    </row>
    <row r="18" spans="1:9">
      <c r="A18" s="17"/>
      <c r="B18" s="18"/>
      <c r="C18" s="18"/>
      <c r="D18" s="18"/>
      <c r="E18" s="18"/>
      <c r="F18" s="18"/>
      <c r="G18" s="18">
        <f t="shared" si="0"/>
        <v>0</v>
      </c>
      <c r="H18" s="18" t="str">
        <f t="shared" si="1"/>
        <v>Fail</v>
      </c>
      <c r="I18" s="18"/>
    </row>
    <row r="19" spans="1:9">
      <c r="A19" s="17"/>
      <c r="B19" s="18"/>
      <c r="C19" s="18"/>
      <c r="D19" s="18"/>
      <c r="E19" s="18"/>
      <c r="F19" s="18"/>
      <c r="G19" s="18">
        <f t="shared" si="0"/>
        <v>0</v>
      </c>
      <c r="H19" s="18" t="str">
        <f t="shared" si="1"/>
        <v>Fail</v>
      </c>
      <c r="I19" s="18"/>
    </row>
    <row r="20" spans="1:9">
      <c r="A20" s="17"/>
      <c r="B20" s="18"/>
      <c r="C20" s="18"/>
      <c r="D20" s="18"/>
      <c r="E20" s="18"/>
      <c r="F20" s="18"/>
      <c r="G20" s="18">
        <f t="shared" si="0"/>
        <v>0</v>
      </c>
      <c r="H20" s="18" t="str">
        <f t="shared" si="1"/>
        <v>Fail</v>
      </c>
      <c r="I20" s="18"/>
    </row>
    <row r="21" spans="1:9">
      <c r="A21" s="17"/>
      <c r="B21" s="18"/>
      <c r="C21" s="18"/>
      <c r="D21" s="18"/>
      <c r="E21" s="18"/>
      <c r="F21" s="18"/>
      <c r="G21" s="18">
        <f t="shared" si="0"/>
        <v>0</v>
      </c>
      <c r="H21" s="18" t="str">
        <f t="shared" si="1"/>
        <v>Fail</v>
      </c>
      <c r="I21" s="18"/>
    </row>
    <row r="22" spans="1:9">
      <c r="A22" s="17"/>
      <c r="B22" s="18"/>
      <c r="C22" s="18"/>
      <c r="D22" s="18"/>
      <c r="E22" s="18"/>
      <c r="F22" s="18"/>
      <c r="G22" s="18">
        <f t="shared" si="0"/>
        <v>0</v>
      </c>
      <c r="H22" s="18" t="str">
        <f t="shared" si="1"/>
        <v>Fail</v>
      </c>
      <c r="I22" s="18"/>
    </row>
    <row r="23" spans="1:9">
      <c r="A23" s="17"/>
      <c r="B23" s="18"/>
      <c r="C23" s="18"/>
      <c r="D23" s="18"/>
      <c r="E23" s="18"/>
      <c r="F23" s="18"/>
      <c r="G23" s="18">
        <f t="shared" si="0"/>
        <v>0</v>
      </c>
      <c r="H23" s="18" t="str">
        <f t="shared" si="1"/>
        <v>Fail</v>
      </c>
      <c r="I23" s="18"/>
    </row>
    <row r="24" spans="1:9">
      <c r="A24" s="17"/>
      <c r="B24" s="18"/>
      <c r="C24" s="18"/>
      <c r="D24" s="18"/>
      <c r="E24" s="18"/>
      <c r="F24" s="18"/>
      <c r="G24" s="18">
        <f t="shared" si="0"/>
        <v>0</v>
      </c>
      <c r="H24" s="18" t="str">
        <f t="shared" si="1"/>
        <v>Fail</v>
      </c>
      <c r="I24" s="18"/>
    </row>
    <row r="25" spans="1:9">
      <c r="A25" s="17"/>
      <c r="B25" s="18"/>
      <c r="C25" s="18"/>
      <c r="D25" s="18"/>
      <c r="E25" s="18"/>
      <c r="F25" s="18"/>
      <c r="G25" s="18">
        <f t="shared" si="0"/>
        <v>0</v>
      </c>
      <c r="H25" s="18" t="str">
        <f t="shared" si="1"/>
        <v>Fail</v>
      </c>
      <c r="I25" s="18"/>
    </row>
    <row r="26" spans="1:9">
      <c r="A26" s="17"/>
      <c r="B26" s="18"/>
      <c r="C26" s="18"/>
      <c r="D26" s="18"/>
      <c r="E26" s="18"/>
      <c r="F26" s="18"/>
      <c r="G26" s="18">
        <f t="shared" si="0"/>
        <v>0</v>
      </c>
      <c r="H26" s="18" t="str">
        <f t="shared" si="1"/>
        <v>Fail</v>
      </c>
      <c r="I26" s="18"/>
    </row>
    <row r="27" spans="1:9">
      <c r="A27" s="17"/>
      <c r="B27" s="18"/>
      <c r="C27" s="18"/>
      <c r="D27" s="18"/>
      <c r="E27" s="18"/>
      <c r="F27" s="18"/>
      <c r="G27" s="18">
        <f t="shared" si="0"/>
        <v>0</v>
      </c>
      <c r="H27" s="18" t="str">
        <f t="shared" si="1"/>
        <v>Fail</v>
      </c>
      <c r="I27" s="18"/>
    </row>
    <row r="28" spans="1:9">
      <c r="A28" s="17"/>
      <c r="B28" s="18"/>
      <c r="C28" s="18"/>
      <c r="D28" s="18"/>
      <c r="E28" s="18"/>
      <c r="F28" s="18"/>
      <c r="G28" s="18">
        <f t="shared" si="0"/>
        <v>0</v>
      </c>
      <c r="H28" s="18" t="str">
        <f t="shared" si="1"/>
        <v>Fail</v>
      </c>
      <c r="I28" s="18"/>
    </row>
    <row r="29" spans="1:9">
      <c r="A29" s="17"/>
      <c r="B29" s="18"/>
      <c r="C29" s="18"/>
      <c r="D29" s="18"/>
      <c r="E29" s="18"/>
      <c r="F29" s="18"/>
      <c r="G29" s="18">
        <f t="shared" si="0"/>
        <v>0</v>
      </c>
      <c r="H29" s="18" t="str">
        <f t="shared" si="1"/>
        <v>Fail</v>
      </c>
      <c r="I29" s="18"/>
    </row>
    <row r="30" spans="1:9">
      <c r="A30" s="17"/>
      <c r="B30" s="18"/>
      <c r="C30" s="18"/>
      <c r="D30" s="18"/>
      <c r="E30" s="18"/>
      <c r="F30" s="18"/>
      <c r="G30" s="18">
        <f t="shared" si="0"/>
        <v>0</v>
      </c>
      <c r="H30" s="18" t="str">
        <f t="shared" si="1"/>
        <v>Fail</v>
      </c>
      <c r="I30" s="18"/>
    </row>
  </sheetData>
  <sheetProtection selectLockedCells="1"/>
  <mergeCells count="6">
    <mergeCell ref="A6:D6"/>
    <mergeCell ref="A7:D7"/>
    <mergeCell ref="B9:D9"/>
    <mergeCell ref="A1:F1"/>
    <mergeCell ref="A4:D4"/>
    <mergeCell ref="A5:D5"/>
  </mergeCells>
  <phoneticPr fontId="1" type="noConversion"/>
  <conditionalFormatting sqref="A12:A30">
    <cfRule type="expression" dxfId="5" priority="13">
      <formula>#REF!=8</formula>
    </cfRule>
  </conditionalFormatting>
  <conditionalFormatting sqref="H11:H30">
    <cfRule type="containsText" dxfId="4" priority="10" stopIfTrue="1" operator="containsText" text="Pass">
      <formula>NOT(ISERROR(SEARCH("Pass",H11)))</formula>
    </cfRule>
    <cfRule type="containsText" dxfId="3" priority="12" stopIfTrue="1" operator="containsText" text="Fail">
      <formula>NOT(ISERROR(SEARCH("Fail",H11)))</formula>
    </cfRule>
  </conditionalFormatting>
  <dataValidations count="3">
    <dataValidation type="list" allowBlank="1" showInputMessage="1" showErrorMessage="1" error="Enter between 1 and 6" sqref="B13" xr:uid="{A8C967D1-5429-B442-ACDD-390CA8B27B7A}">
      <formula1>"0,1,2,3,4,5,6"</formula1>
    </dataValidation>
    <dataValidation type="list" allowBlank="1" showInputMessage="1" showErrorMessage="1" error="Enter 2 for Pass" sqref="C13:E13" xr:uid="{02E8AEED-8517-4D40-9D49-C787AD539859}">
      <formula1>"0,7"</formula1>
    </dataValidation>
    <dataValidation type="list" allowBlank="1" showInputMessage="1" showErrorMessage="1" error="Enter 2 for Pass" sqref="F13" xr:uid="{20E8A3C9-3939-5847-9412-5C575EA4EF6E}">
      <formula1>"0,3"</formula1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2A38-D6BA-F040-BCE7-7573729B21B3}">
  <dimension ref="A1:I28"/>
  <sheetViews>
    <sheetView showGridLines="0" tabSelected="1" topLeftCell="A14" zoomScale="180" zoomScaleNormal="180" workbookViewId="0">
      <selection activeCell="I10" sqref="I10"/>
    </sheetView>
  </sheetViews>
  <sheetFormatPr baseColWidth="10" defaultColWidth="11" defaultRowHeight="16"/>
  <cols>
    <col min="1" max="1" width="15.83203125" style="29" customWidth="1"/>
    <col min="2" max="2" width="13.1640625" style="29" customWidth="1"/>
    <col min="3" max="3" width="8.5" style="29" bestFit="1" customWidth="1"/>
    <col min="4" max="4" width="11.6640625" style="29" customWidth="1"/>
    <col min="5" max="5" width="13" style="29" customWidth="1"/>
    <col min="6" max="6" width="12.5" style="29" customWidth="1"/>
    <col min="7" max="8" width="9.83203125" style="29" customWidth="1"/>
    <col min="9" max="9" width="32.1640625" style="29" customWidth="1"/>
    <col min="10" max="16384" width="11" style="29"/>
  </cols>
  <sheetData>
    <row r="1" spans="1:9" ht="28" customHeight="1">
      <c r="A1" s="43" t="s">
        <v>61</v>
      </c>
      <c r="B1" s="26"/>
      <c r="C1" s="26"/>
      <c r="D1" s="26"/>
      <c r="E1" s="26"/>
      <c r="F1" s="26"/>
      <c r="G1" s="27"/>
      <c r="H1" s="28"/>
      <c r="I1" s="28"/>
    </row>
    <row r="2" spans="1:9" ht="11" customHeight="1">
      <c r="A2" s="42" t="s">
        <v>62</v>
      </c>
      <c r="B2" s="41"/>
      <c r="C2" s="41"/>
      <c r="D2" s="41"/>
      <c r="E2" s="28"/>
      <c r="F2" s="28"/>
      <c r="G2" s="28"/>
      <c r="H2" s="28"/>
      <c r="I2" s="28"/>
    </row>
    <row r="3" spans="1:9" ht="15" customHeight="1">
      <c r="A3" s="55" t="s">
        <v>47</v>
      </c>
      <c r="B3" s="56"/>
      <c r="C3" s="56"/>
      <c r="D3" s="56"/>
      <c r="E3" s="28"/>
      <c r="F3" s="28"/>
      <c r="G3" s="28"/>
      <c r="H3" s="28"/>
      <c r="I3" s="28"/>
    </row>
    <row r="4" spans="1:9" ht="15" customHeight="1">
      <c r="A4" s="57" t="s">
        <v>48</v>
      </c>
      <c r="B4" s="58"/>
      <c r="C4" s="58"/>
      <c r="D4" s="58"/>
      <c r="E4" s="28"/>
      <c r="F4" s="28"/>
      <c r="G4" s="28"/>
      <c r="H4" s="28"/>
      <c r="I4" s="28"/>
    </row>
    <row r="5" spans="1:9" ht="15" customHeight="1">
      <c r="A5" s="59" t="s">
        <v>49</v>
      </c>
      <c r="B5" s="58"/>
      <c r="C5" s="58"/>
      <c r="D5" s="58"/>
      <c r="E5" s="28"/>
      <c r="F5" s="28"/>
      <c r="G5" s="28"/>
      <c r="H5" s="28"/>
      <c r="I5" s="28"/>
    </row>
    <row r="6" spans="1:9" ht="15" customHeight="1">
      <c r="A6" s="60" t="s">
        <v>50</v>
      </c>
      <c r="B6" s="61"/>
      <c r="C6" s="61"/>
      <c r="D6" s="61"/>
      <c r="E6" s="28"/>
      <c r="F6" s="28"/>
      <c r="G6" s="28"/>
      <c r="H6" s="28"/>
      <c r="I6" s="28"/>
    </row>
    <row r="7" spans="1:9" ht="10" customHeight="1">
      <c r="A7" s="28"/>
      <c r="B7" s="30"/>
      <c r="C7" s="31"/>
      <c r="D7" s="31"/>
      <c r="E7" s="31"/>
      <c r="F7" s="31"/>
      <c r="G7" s="31"/>
      <c r="H7" s="28"/>
      <c r="I7" s="28"/>
    </row>
    <row r="8" spans="1:9" ht="20" customHeight="1">
      <c r="A8" s="28"/>
      <c r="B8" s="52" t="s">
        <v>63</v>
      </c>
      <c r="C8" s="53"/>
      <c r="D8" s="54"/>
      <c r="E8" s="38" t="s">
        <v>59</v>
      </c>
      <c r="F8" s="38" t="s">
        <v>60</v>
      </c>
      <c r="G8" s="32"/>
      <c r="H8" s="28"/>
      <c r="I8" s="28"/>
    </row>
    <row r="9" spans="1:9">
      <c r="A9" s="28"/>
      <c r="B9" s="44" t="s">
        <v>9</v>
      </c>
      <c r="C9" s="45" t="s">
        <v>10</v>
      </c>
      <c r="D9" s="45" t="s">
        <v>10</v>
      </c>
      <c r="E9" s="45" t="s">
        <v>10</v>
      </c>
      <c r="F9" s="45" t="s">
        <v>11</v>
      </c>
      <c r="G9" s="31"/>
      <c r="H9" s="28"/>
      <c r="I9" s="28"/>
    </row>
    <row r="10" spans="1:9" s="46" customFormat="1" ht="39" customHeight="1">
      <c r="A10" s="40" t="s">
        <v>51</v>
      </c>
      <c r="B10" s="37" t="s">
        <v>52</v>
      </c>
      <c r="C10" s="37" t="s">
        <v>53</v>
      </c>
      <c r="D10" s="33" t="s">
        <v>46</v>
      </c>
      <c r="E10" s="37" t="s">
        <v>54</v>
      </c>
      <c r="F10" s="38" t="s">
        <v>55</v>
      </c>
      <c r="G10" s="38" t="s">
        <v>56</v>
      </c>
      <c r="H10" s="38" t="s">
        <v>58</v>
      </c>
      <c r="I10" s="39" t="s">
        <v>57</v>
      </c>
    </row>
    <row r="11" spans="1:9" ht="16" customHeight="1">
      <c r="A11" s="34"/>
      <c r="B11" s="35"/>
      <c r="C11" s="35"/>
      <c r="D11" s="35"/>
      <c r="E11" s="35"/>
      <c r="F11" s="35"/>
      <c r="G11" s="35"/>
      <c r="H11" s="36" t="str">
        <f>IF(G11&gt;24, "Pass","")</f>
        <v/>
      </c>
      <c r="I11" s="35"/>
    </row>
    <row r="12" spans="1:9" ht="16" customHeight="1">
      <c r="A12" s="34"/>
      <c r="B12" s="35"/>
      <c r="C12" s="35"/>
      <c r="D12" s="35"/>
      <c r="E12" s="35"/>
      <c r="F12" s="35"/>
      <c r="G12" s="35"/>
      <c r="H12" s="36" t="str">
        <f t="shared" ref="H12:H28" si="0">IF(G12&gt;24, "Pass","")</f>
        <v/>
      </c>
      <c r="I12" s="35"/>
    </row>
    <row r="13" spans="1:9" ht="16" customHeight="1">
      <c r="A13" s="34"/>
      <c r="B13" s="35"/>
      <c r="C13" s="35"/>
      <c r="D13" s="35"/>
      <c r="E13" s="35"/>
      <c r="F13" s="35"/>
      <c r="G13" s="35"/>
      <c r="H13" s="36" t="str">
        <f t="shared" si="0"/>
        <v/>
      </c>
      <c r="I13" s="35"/>
    </row>
    <row r="14" spans="1:9" ht="16" customHeight="1">
      <c r="A14" s="34"/>
      <c r="B14" s="35"/>
      <c r="C14" s="35"/>
      <c r="D14" s="35"/>
      <c r="E14" s="35"/>
      <c r="F14" s="35"/>
      <c r="G14" s="35"/>
      <c r="H14" s="36" t="str">
        <f t="shared" si="0"/>
        <v/>
      </c>
      <c r="I14" s="35"/>
    </row>
    <row r="15" spans="1:9" ht="16" customHeight="1">
      <c r="A15" s="34"/>
      <c r="B15" s="35"/>
      <c r="C15" s="35"/>
      <c r="D15" s="35"/>
      <c r="E15" s="35"/>
      <c r="F15" s="35"/>
      <c r="G15" s="35"/>
      <c r="H15" s="36" t="str">
        <f t="shared" si="0"/>
        <v/>
      </c>
      <c r="I15" s="35"/>
    </row>
    <row r="16" spans="1:9" ht="16" customHeight="1">
      <c r="A16" s="34"/>
      <c r="B16" s="35"/>
      <c r="C16" s="35"/>
      <c r="D16" s="35"/>
      <c r="E16" s="35"/>
      <c r="F16" s="35"/>
      <c r="G16" s="35"/>
      <c r="H16" s="36" t="str">
        <f t="shared" si="0"/>
        <v/>
      </c>
      <c r="I16" s="35"/>
    </row>
    <row r="17" spans="1:9" ht="16" customHeight="1">
      <c r="A17" s="34"/>
      <c r="B17" s="35"/>
      <c r="C17" s="35"/>
      <c r="D17" s="35"/>
      <c r="E17" s="35"/>
      <c r="F17" s="35"/>
      <c r="G17" s="35"/>
      <c r="H17" s="36" t="str">
        <f t="shared" si="0"/>
        <v/>
      </c>
      <c r="I17" s="35"/>
    </row>
    <row r="18" spans="1:9" ht="16" customHeight="1">
      <c r="A18" s="34"/>
      <c r="B18" s="35"/>
      <c r="C18" s="35"/>
      <c r="D18" s="35"/>
      <c r="E18" s="35"/>
      <c r="F18" s="35"/>
      <c r="G18" s="35"/>
      <c r="H18" s="36" t="str">
        <f t="shared" si="0"/>
        <v/>
      </c>
      <c r="I18" s="35"/>
    </row>
    <row r="19" spans="1:9" ht="16" customHeight="1">
      <c r="A19" s="34"/>
      <c r="B19" s="35"/>
      <c r="C19" s="35"/>
      <c r="D19" s="35"/>
      <c r="E19" s="35"/>
      <c r="F19" s="35"/>
      <c r="G19" s="35"/>
      <c r="H19" s="36" t="str">
        <f t="shared" si="0"/>
        <v/>
      </c>
      <c r="I19" s="35"/>
    </row>
    <row r="20" spans="1:9" ht="16" customHeight="1">
      <c r="A20" s="34"/>
      <c r="B20" s="35"/>
      <c r="C20" s="35"/>
      <c r="D20" s="35"/>
      <c r="E20" s="35"/>
      <c r="F20" s="35"/>
      <c r="G20" s="35"/>
      <c r="H20" s="36" t="str">
        <f t="shared" si="0"/>
        <v/>
      </c>
      <c r="I20" s="35"/>
    </row>
    <row r="21" spans="1:9" ht="16" customHeight="1">
      <c r="A21" s="34"/>
      <c r="B21" s="35"/>
      <c r="C21" s="35"/>
      <c r="D21" s="35"/>
      <c r="E21" s="35"/>
      <c r="F21" s="35"/>
      <c r="G21" s="35"/>
      <c r="H21" s="36" t="str">
        <f t="shared" si="0"/>
        <v/>
      </c>
      <c r="I21" s="35"/>
    </row>
    <row r="22" spans="1:9" ht="16" customHeight="1">
      <c r="A22" s="34"/>
      <c r="B22" s="35"/>
      <c r="C22" s="35"/>
      <c r="D22" s="35"/>
      <c r="E22" s="35"/>
      <c r="F22" s="35"/>
      <c r="G22" s="35"/>
      <c r="H22" s="36" t="str">
        <f t="shared" si="0"/>
        <v/>
      </c>
      <c r="I22" s="35"/>
    </row>
    <row r="23" spans="1:9" ht="16" customHeight="1">
      <c r="A23" s="34"/>
      <c r="B23" s="35"/>
      <c r="C23" s="35"/>
      <c r="D23" s="35"/>
      <c r="E23" s="35"/>
      <c r="F23" s="35"/>
      <c r="G23" s="35"/>
      <c r="H23" s="36" t="str">
        <f t="shared" si="0"/>
        <v/>
      </c>
      <c r="I23" s="35"/>
    </row>
    <row r="24" spans="1:9" ht="16" customHeight="1">
      <c r="A24" s="34"/>
      <c r="B24" s="35"/>
      <c r="C24" s="35"/>
      <c r="D24" s="35"/>
      <c r="E24" s="35"/>
      <c r="F24" s="35"/>
      <c r="G24" s="35"/>
      <c r="H24" s="36" t="str">
        <f t="shared" si="0"/>
        <v/>
      </c>
      <c r="I24" s="35"/>
    </row>
    <row r="25" spans="1:9" ht="16" customHeight="1">
      <c r="A25" s="34"/>
      <c r="B25" s="35"/>
      <c r="C25" s="35"/>
      <c r="D25" s="35"/>
      <c r="E25" s="35"/>
      <c r="F25" s="35"/>
      <c r="G25" s="35"/>
      <c r="H25" s="36" t="str">
        <f t="shared" si="0"/>
        <v/>
      </c>
      <c r="I25" s="35"/>
    </row>
    <row r="26" spans="1:9" ht="16" customHeight="1">
      <c r="A26" s="34"/>
      <c r="B26" s="35"/>
      <c r="C26" s="35"/>
      <c r="D26" s="35"/>
      <c r="E26" s="35"/>
      <c r="F26" s="35"/>
      <c r="G26" s="35"/>
      <c r="H26" s="36" t="str">
        <f t="shared" si="0"/>
        <v/>
      </c>
      <c r="I26" s="35"/>
    </row>
    <row r="27" spans="1:9" ht="16" customHeight="1">
      <c r="A27" s="34"/>
      <c r="B27" s="35"/>
      <c r="C27" s="35"/>
      <c r="D27" s="35"/>
      <c r="E27" s="35"/>
      <c r="F27" s="35"/>
      <c r="G27" s="35"/>
      <c r="H27" s="36" t="str">
        <f t="shared" si="0"/>
        <v/>
      </c>
      <c r="I27" s="35"/>
    </row>
    <row r="28" spans="1:9" ht="16" customHeight="1">
      <c r="A28" s="34"/>
      <c r="B28" s="35"/>
      <c r="C28" s="35"/>
      <c r="D28" s="35"/>
      <c r="E28" s="35"/>
      <c r="F28" s="35"/>
      <c r="G28" s="35"/>
      <c r="H28" s="36" t="str">
        <f t="shared" si="0"/>
        <v/>
      </c>
      <c r="I28" s="35"/>
    </row>
  </sheetData>
  <mergeCells count="5">
    <mergeCell ref="B8:D8"/>
    <mergeCell ref="A3:D3"/>
    <mergeCell ref="A4:D4"/>
    <mergeCell ref="A5:D5"/>
    <mergeCell ref="A6:D6"/>
  </mergeCells>
  <phoneticPr fontId="9" type="noConversion"/>
  <conditionalFormatting sqref="A10:A28">
    <cfRule type="expression" dxfId="2" priority="3">
      <formula>#REF!=8</formula>
    </cfRule>
  </conditionalFormatting>
  <conditionalFormatting sqref="H10:H28">
    <cfRule type="containsText" dxfId="1" priority="1" stopIfTrue="1" operator="containsText" text="Pass">
      <formula>NOT(ISERROR(SEARCH("Pass",H10)))</formula>
    </cfRule>
    <cfRule type="containsText" dxfId="0" priority="2" stopIfTrue="1" operator="containsText" text="Fail">
      <formula>NOT(ISERROR(SEARCH("Fail",H10)))</formula>
    </cfRule>
  </conditionalFormatting>
  <dataValidations count="3">
    <dataValidation type="list" allowBlank="1" showInputMessage="1" showErrorMessage="1" error="Enter 2 for Pass" sqref="F11:F28" xr:uid="{91D7675E-B105-7142-A348-5013C6002695}">
      <formula1>"0,3"</formula1>
    </dataValidation>
    <dataValidation type="list" allowBlank="1" showInputMessage="1" showErrorMessage="1" error="Enter 2 for Pass" sqref="C11:E28" xr:uid="{59AE72B0-8837-7D41-9784-4CAC1002BF9F}">
      <formula1>"0,7"</formula1>
    </dataValidation>
    <dataValidation type="list" showErrorMessage="1" error="Enter between 1 and 6" prompt="Choose from dropdown." sqref="B11:B28" xr:uid="{3C572FAC-09AB-1445-AB3A-59317E8A2D22}">
      <formula1>"0,.5,1,1.5,2,2.5,3,3.5,4,4.5,5,5.5,6"</formula1>
    </dataValidation>
  </dataValidations>
  <printOptions horizontalCentered="1" verticalCentered="1"/>
  <pageMargins left="0.25" right="0.25" top="0.75" bottom="0.75" header="0.3" footer="0.3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42B4-1BB9-AC4B-A62E-D688C3F6FA6A}">
  <dimension ref="A1:X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U2" sqref="U2"/>
    </sheetView>
  </sheetViews>
  <sheetFormatPr baseColWidth="10" defaultColWidth="10.83203125" defaultRowHeight="16"/>
  <cols>
    <col min="1" max="1" width="6.5" style="2" bestFit="1" customWidth="1"/>
    <col min="2" max="2" width="6.83203125" style="2" bestFit="1" customWidth="1"/>
    <col min="3" max="11" width="7.33203125" style="2" bestFit="1" customWidth="1"/>
    <col min="12" max="20" width="8.33203125" style="2" bestFit="1" customWidth="1"/>
    <col min="21" max="22" width="6.1640625" style="2" bestFit="1" customWidth="1"/>
    <col min="23" max="23" width="8.1640625" style="2" bestFit="1" customWidth="1"/>
    <col min="24" max="24" width="7.83203125" style="2" bestFit="1" customWidth="1"/>
    <col min="25" max="16384" width="10.83203125" style="2"/>
  </cols>
  <sheetData>
    <row r="1" spans="1:24" s="4" customFormat="1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42</v>
      </c>
      <c r="V1" s="4" t="s">
        <v>43</v>
      </c>
      <c r="W1" s="4" t="s">
        <v>44</v>
      </c>
      <c r="X1" s="4" t="s">
        <v>45</v>
      </c>
    </row>
    <row r="2" spans="1:24">
      <c r="A2" s="2">
        <v>1</v>
      </c>
      <c r="B2" s="3">
        <f>(W2-U2-V2)/X2</f>
        <v>91.21875</v>
      </c>
      <c r="C2" s="2">
        <v>92.25</v>
      </c>
      <c r="D2" s="2">
        <v>92.75</v>
      </c>
      <c r="E2" s="2">
        <v>92.25</v>
      </c>
      <c r="F2" s="2">
        <v>90.75</v>
      </c>
      <c r="G2" s="2">
        <v>92.75</v>
      </c>
      <c r="H2" s="2">
        <v>92.25</v>
      </c>
      <c r="I2" s="2">
        <v>90.25</v>
      </c>
      <c r="J2" s="2">
        <v>92.75</v>
      </c>
      <c r="K2" s="2">
        <v>91.25</v>
      </c>
      <c r="L2" s="2">
        <v>86.25</v>
      </c>
      <c r="M2" s="2">
        <v>85</v>
      </c>
      <c r="N2" s="2">
        <v>94.75</v>
      </c>
      <c r="O2" s="2">
        <v>90.75</v>
      </c>
      <c r="P2" s="2">
        <v>93.5</v>
      </c>
      <c r="Q2" s="2">
        <v>92.5</v>
      </c>
      <c r="R2" s="2">
        <v>88.75</v>
      </c>
      <c r="S2" s="2">
        <v>90.25</v>
      </c>
      <c r="T2" s="2">
        <v>90.25</v>
      </c>
      <c r="U2" s="2">
        <f>MIN(C2:T2)</f>
        <v>85</v>
      </c>
      <c r="V2" s="2">
        <f>MAX(C2:T2)</f>
        <v>94.75</v>
      </c>
      <c r="W2" s="2">
        <f>SUM(C2:T2)</f>
        <v>1639.25</v>
      </c>
      <c r="X2" s="2">
        <f>COUNT(C2:T2)-2</f>
        <v>16</v>
      </c>
    </row>
    <row r="3" spans="1:24">
      <c r="A3" s="2">
        <v>2</v>
      </c>
      <c r="B3" s="3">
        <f t="shared" ref="B3:B7" si="0">(W3-U3-V3)/X3</f>
        <v>72.40625</v>
      </c>
      <c r="C3" s="2">
        <v>72.25</v>
      </c>
      <c r="D3" s="2">
        <v>74.5</v>
      </c>
      <c r="E3" s="2">
        <v>65.25</v>
      </c>
      <c r="F3" s="2">
        <v>64</v>
      </c>
      <c r="G3" s="2">
        <v>80.25</v>
      </c>
      <c r="H3" s="2">
        <v>62.5</v>
      </c>
      <c r="I3" s="2">
        <v>77.75</v>
      </c>
      <c r="J3" s="2">
        <v>75</v>
      </c>
      <c r="K3" s="2">
        <v>75</v>
      </c>
      <c r="L3" s="2">
        <v>71.75</v>
      </c>
      <c r="M3" s="2">
        <v>83</v>
      </c>
      <c r="N3" s="2">
        <v>75</v>
      </c>
      <c r="O3" s="2">
        <v>71.75</v>
      </c>
      <c r="P3" s="2">
        <v>77.75</v>
      </c>
      <c r="Q3" s="2">
        <v>67.5</v>
      </c>
      <c r="R3" s="2">
        <v>69.75</v>
      </c>
      <c r="S3" s="2">
        <v>75.75</v>
      </c>
      <c r="T3" s="2">
        <v>65.25</v>
      </c>
      <c r="U3" s="2">
        <f t="shared" ref="U3:U7" si="1">MIN(C3:T3)</f>
        <v>62.5</v>
      </c>
      <c r="V3" s="2">
        <f t="shared" ref="V3:V7" si="2">MAX(C3:T3)</f>
        <v>83</v>
      </c>
      <c r="W3" s="2">
        <f t="shared" ref="W3:W7" si="3">SUM(C3:T3)</f>
        <v>1304</v>
      </c>
      <c r="X3" s="2">
        <f t="shared" ref="X3:X7" si="4">COUNT(C3:T3)-2</f>
        <v>16</v>
      </c>
    </row>
    <row r="4" spans="1:24">
      <c r="A4" s="2">
        <v>3</v>
      </c>
      <c r="B4" s="3">
        <f t="shared" si="0"/>
        <v>88.859375</v>
      </c>
      <c r="C4" s="2">
        <v>84</v>
      </c>
      <c r="D4" s="2">
        <v>91.5</v>
      </c>
      <c r="E4" s="2">
        <v>90.25</v>
      </c>
      <c r="F4" s="2">
        <v>87</v>
      </c>
      <c r="G4" s="2">
        <v>95.5</v>
      </c>
      <c r="H4" s="2">
        <v>87.5</v>
      </c>
      <c r="I4" s="2">
        <v>86.25</v>
      </c>
      <c r="J4" s="2">
        <v>91.5</v>
      </c>
      <c r="K4" s="2">
        <v>87</v>
      </c>
      <c r="L4" s="2">
        <v>92.75</v>
      </c>
      <c r="M4" s="2">
        <v>82.25</v>
      </c>
      <c r="N4" s="2">
        <v>93.5</v>
      </c>
      <c r="O4" s="2">
        <v>80.75</v>
      </c>
      <c r="P4" s="2">
        <v>93</v>
      </c>
      <c r="Q4" s="2">
        <v>88</v>
      </c>
      <c r="R4" s="2">
        <v>88.25</v>
      </c>
      <c r="S4" s="2">
        <v>91.5</v>
      </c>
      <c r="T4" s="2">
        <v>87.5</v>
      </c>
      <c r="U4" s="2">
        <f t="shared" si="1"/>
        <v>80.75</v>
      </c>
      <c r="V4" s="2">
        <f t="shared" si="2"/>
        <v>95.5</v>
      </c>
      <c r="W4" s="2">
        <f t="shared" si="3"/>
        <v>1598</v>
      </c>
      <c r="X4" s="2">
        <f t="shared" si="4"/>
        <v>16</v>
      </c>
    </row>
    <row r="5" spans="1:24">
      <c r="A5" s="2">
        <v>4</v>
      </c>
      <c r="B5" s="3">
        <f t="shared" si="0"/>
        <v>79.703125</v>
      </c>
      <c r="C5" s="2">
        <v>76.25</v>
      </c>
      <c r="D5" s="2">
        <v>77.5</v>
      </c>
      <c r="E5" s="2">
        <v>80.25</v>
      </c>
      <c r="F5" s="2">
        <v>67.75</v>
      </c>
      <c r="G5" s="2">
        <v>80.25</v>
      </c>
      <c r="H5" s="2">
        <v>79.75</v>
      </c>
      <c r="I5" s="2">
        <v>76.5</v>
      </c>
      <c r="J5" s="2">
        <v>80.25</v>
      </c>
      <c r="K5" s="2">
        <v>86</v>
      </c>
      <c r="L5" s="2">
        <v>88.75</v>
      </c>
      <c r="M5" s="2">
        <v>83.5</v>
      </c>
      <c r="N5" s="2">
        <v>86.25</v>
      </c>
      <c r="O5" s="2">
        <v>77</v>
      </c>
      <c r="P5" s="2">
        <v>74.5</v>
      </c>
      <c r="Q5" s="2">
        <v>77.75</v>
      </c>
      <c r="R5" s="2">
        <v>80.75</v>
      </c>
      <c r="S5" s="2">
        <v>81</v>
      </c>
      <c r="T5" s="2">
        <v>77.75</v>
      </c>
      <c r="U5" s="2">
        <f t="shared" si="1"/>
        <v>67.75</v>
      </c>
      <c r="V5" s="2">
        <f t="shared" si="2"/>
        <v>88.75</v>
      </c>
      <c r="W5" s="2">
        <f t="shared" si="3"/>
        <v>1431.75</v>
      </c>
      <c r="X5" s="2">
        <f t="shared" si="4"/>
        <v>16</v>
      </c>
    </row>
    <row r="6" spans="1:24">
      <c r="A6" s="2">
        <v>5</v>
      </c>
      <c r="B6" s="3">
        <f t="shared" si="0"/>
        <v>71.109375</v>
      </c>
      <c r="C6" s="2">
        <v>77.25</v>
      </c>
      <c r="D6" s="2">
        <v>66.5</v>
      </c>
      <c r="E6" s="2">
        <v>64.5</v>
      </c>
      <c r="F6" s="2">
        <v>58</v>
      </c>
      <c r="G6" s="2">
        <v>74.5</v>
      </c>
      <c r="H6" s="2">
        <v>62</v>
      </c>
      <c r="I6" s="2">
        <v>75</v>
      </c>
      <c r="J6" s="2">
        <v>76.5</v>
      </c>
      <c r="K6" s="2">
        <v>74.5</v>
      </c>
      <c r="L6" s="2">
        <v>79.75</v>
      </c>
      <c r="M6" s="2">
        <v>67</v>
      </c>
      <c r="N6" s="2">
        <v>83.5</v>
      </c>
      <c r="O6" s="2">
        <v>65.75</v>
      </c>
      <c r="P6" s="2">
        <v>75</v>
      </c>
      <c r="Q6" s="2">
        <v>58.75</v>
      </c>
      <c r="R6" s="2">
        <v>69.75</v>
      </c>
      <c r="S6" s="2">
        <v>74.5</v>
      </c>
      <c r="T6" s="2">
        <v>76.5</v>
      </c>
      <c r="U6" s="2">
        <f t="shared" si="1"/>
        <v>58</v>
      </c>
      <c r="V6" s="2">
        <f t="shared" si="2"/>
        <v>83.5</v>
      </c>
      <c r="W6" s="2">
        <f t="shared" si="3"/>
        <v>1279.25</v>
      </c>
      <c r="X6" s="2">
        <f t="shared" si="4"/>
        <v>16</v>
      </c>
    </row>
    <row r="7" spans="1:24">
      <c r="A7" s="2">
        <v>6</v>
      </c>
      <c r="B7" s="3">
        <f t="shared" si="0"/>
        <v>92.515625</v>
      </c>
      <c r="C7" s="2">
        <v>90.25</v>
      </c>
      <c r="D7" s="2">
        <v>95.5</v>
      </c>
      <c r="E7" s="2">
        <v>91.5</v>
      </c>
      <c r="F7" s="2">
        <v>92.75</v>
      </c>
      <c r="G7" s="2">
        <v>92.25</v>
      </c>
      <c r="H7" s="2">
        <v>90.25</v>
      </c>
      <c r="I7" s="2">
        <v>89.5</v>
      </c>
      <c r="J7" s="2">
        <v>90.75</v>
      </c>
      <c r="K7" s="2">
        <v>94.75</v>
      </c>
      <c r="L7" s="2">
        <v>90.25</v>
      </c>
      <c r="M7" s="2">
        <v>90.75</v>
      </c>
      <c r="N7" s="2">
        <v>96.75</v>
      </c>
      <c r="O7" s="2">
        <v>96</v>
      </c>
      <c r="P7" s="2">
        <v>94.75</v>
      </c>
      <c r="Q7" s="2">
        <v>94</v>
      </c>
      <c r="R7" s="2">
        <v>90.25</v>
      </c>
      <c r="S7" s="2">
        <v>92.75</v>
      </c>
      <c r="T7" s="2">
        <v>93.5</v>
      </c>
      <c r="U7" s="2">
        <f t="shared" si="1"/>
        <v>89.5</v>
      </c>
      <c r="V7" s="2">
        <f t="shared" si="2"/>
        <v>96.75</v>
      </c>
      <c r="W7" s="2">
        <f t="shared" si="3"/>
        <v>1666.5</v>
      </c>
      <c r="X7" s="2">
        <f t="shared" si="4"/>
        <v>16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1F83E32A91E643A4A0F38E27F4ACBD" ma:contentTypeVersion="4" ma:contentTypeDescription="Create a new document." ma:contentTypeScope="" ma:versionID="d98a003a7a9c454683739e4bcb8074bc">
  <xsd:schema xmlns:xsd="http://www.w3.org/2001/XMLSchema" xmlns:xs="http://www.w3.org/2001/XMLSchema" xmlns:p="http://schemas.microsoft.com/office/2006/metadata/properties" xmlns:ns2="304f8657-4a39-4435-9387-9fb1900ec9db" xmlns:ns3="8a92fb56-c027-4305-a7fc-a6e91e319599" targetNamespace="http://schemas.microsoft.com/office/2006/metadata/properties" ma:root="true" ma:fieldsID="db18394a09e3b40ca4c92a1abde8ff44" ns2:_="" ns3:_="">
    <xsd:import namespace="304f8657-4a39-4435-9387-9fb1900ec9db"/>
    <xsd:import namespace="8a92fb56-c027-4305-a7fc-a6e91e31959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f8657-4a39-4435-9387-9fb1900ec9d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92fb56-c027-4305-a7fc-a6e91e3195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04f8657-4a39-4435-9387-9fb1900ec9db">NPAMPZ2U23K2-1776055988-338</_dlc_DocId>
    <_dlc_DocIdUrl xmlns="304f8657-4a39-4435-9387-9fb1900ec9db">
      <Url>https://scacoffee365.sharepoint.com/sites/Education-CertificateProgramsLibrary/_layouts/15/DocIdRedir.aspx?ID=NPAMPZ2U23K2-1776055988-338</Url>
      <Description>NPAMPZ2U23K2-1776055988-338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264CBE-ADF9-415A-8DD3-FC9F2C11EBC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CD4C323-DE83-4FA2-9FB4-0590A93BD6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4f8657-4a39-4435-9387-9fb1900ec9db"/>
    <ds:schemaRef ds:uri="8a92fb56-c027-4305-a7fc-a6e91e3195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7A2857-A3B1-4FFF-B643-E9D648A6206F}">
  <ds:schemaRefs>
    <ds:schemaRef ds:uri="8a92fb56-c027-4305-a7fc-a6e91e319599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304f8657-4a39-4435-9387-9fb1900ec9db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A2C634AE-0811-45E6-86E9-6456B36F99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Connor Clarke</cp:lastModifiedBy>
  <cp:revision/>
  <cp:lastPrinted>2025-01-08T14:31:56Z</cp:lastPrinted>
  <dcterms:created xsi:type="dcterms:W3CDTF">2023-05-13T22:00:17Z</dcterms:created>
  <dcterms:modified xsi:type="dcterms:W3CDTF">2025-01-14T16:05:35Z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0x010100FB1F83E32A91E643A4A0F38E27F4ACBD</vt:lpwstr>
  </property>
  <property fmtid="{D5CDD505-2E9C-101B-9397-08002B2CF9AE}" pid="3" name="_dlc_DocIdItemGuid">
    <vt:lpwstr>a4a1c349-7128-4610-843c-c2997bc0c5e6</vt:lpwstr>
  </property>
</Properties>
</file>