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matthewdavis/Downloads/"/>
    </mc:Choice>
  </mc:AlternateContent>
  <xr:revisionPtr revIDLastSave="0" documentId="13_ncr:1_{E82027EE-B3D3-F446-B89B-715935C4F92A}" xr6:coauthVersionLast="47" xr6:coauthVersionMax="47" xr10:uidLastSave="{00000000-0000-0000-0000-000000000000}"/>
  <bookViews>
    <workbookView xWindow="32440" yWindow="1000" windowWidth="28800" windowHeight="15460" xr2:uid="{40B0F6E7-ACF2-A84A-B04B-9451E19A11ED}"/>
  </bookViews>
  <sheets>
    <sheet name="Volunteer" sheetId="21" r:id="rId1"/>
    <sheet name="学员姓名" sheetId="1" r:id="rId2"/>
    <sheet name="结果" sheetId="2" r:id="rId3"/>
    <sheet name="杯测技能 (1)" sheetId="3" r:id="rId4"/>
    <sheet name="杯测技能 (2)" sheetId="4" r:id="rId5"/>
    <sheet name="物理性评估 (1)" sheetId="5" r:id="rId6"/>
    <sheet name="物理性评估 (2)" sheetId="6" r:id="rId7"/>
    <sheet name="嗅觉样品分类 (1)" sheetId="11" r:id="rId8"/>
    <sheet name="嗅觉样品分类 (2)" sheetId="15" r:id="rId9"/>
    <sheet name="描述性评估 (1)" sheetId="7" r:id="rId10"/>
    <sheet name="描述性评估 (2)" sheetId="16" r:id="rId11"/>
    <sheet name="三角杯测 (1)" sheetId="12" r:id="rId12"/>
    <sheet name="三角杯测 (2)" sheetId="17" r:id="rId13"/>
    <sheet name="烘焙问题 (1)" sheetId="13" r:id="rId14"/>
    <sheet name="烘焙问题 (2)" sheetId="18" r:id="rId15"/>
    <sheet name="基本味觉 (1)" sheetId="14" r:id="rId16"/>
    <sheet name="基本味觉 (2)" sheetId="19" r:id="rId17"/>
    <sheet name="情感性评估 (1)" sheetId="10" r:id="rId18"/>
    <sheet name="情感性评估 (2)" sheetId="20" r:id="rId1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20" l="1"/>
  <c r="E9" i="20"/>
  <c r="F9" i="20"/>
  <c r="G9" i="20"/>
  <c r="H9" i="20"/>
  <c r="I9" i="20"/>
  <c r="J9" i="20"/>
  <c r="K9" i="20"/>
  <c r="L9" i="20"/>
  <c r="M9" i="20"/>
  <c r="N9" i="20"/>
  <c r="O9" i="20"/>
  <c r="P9" i="20"/>
  <c r="Q9" i="20"/>
  <c r="R9" i="20"/>
  <c r="S9" i="20"/>
  <c r="T9" i="20"/>
  <c r="U9" i="20"/>
  <c r="V9" i="20"/>
  <c r="W9" i="20"/>
  <c r="X9" i="20"/>
  <c r="Y9" i="20"/>
  <c r="C9" i="20"/>
  <c r="D9" i="10"/>
  <c r="E9" i="10"/>
  <c r="F9" i="10"/>
  <c r="G9" i="10"/>
  <c r="H9" i="10"/>
  <c r="I9" i="10"/>
  <c r="J9" i="10"/>
  <c r="K9" i="10"/>
  <c r="L9" i="10"/>
  <c r="M9" i="10"/>
  <c r="N9" i="10"/>
  <c r="O9" i="10"/>
  <c r="P9" i="10"/>
  <c r="Q9" i="10"/>
  <c r="R9" i="10"/>
  <c r="S9" i="10"/>
  <c r="T9" i="10"/>
  <c r="U9" i="10"/>
  <c r="V9" i="10"/>
  <c r="W9" i="10"/>
  <c r="X9" i="10"/>
  <c r="Y9" i="10"/>
  <c r="C9" i="10"/>
  <c r="D6" i="19"/>
  <c r="E6" i="19"/>
  <c r="F6" i="19"/>
  <c r="G6" i="19"/>
  <c r="H6" i="19"/>
  <c r="I6" i="19"/>
  <c r="J6" i="19"/>
  <c r="K6" i="19"/>
  <c r="L6" i="19"/>
  <c r="M6" i="19"/>
  <c r="N6" i="19"/>
  <c r="O6" i="19"/>
  <c r="P6" i="19"/>
  <c r="Q6" i="19"/>
  <c r="R6" i="19"/>
  <c r="S6" i="19"/>
  <c r="T6" i="19"/>
  <c r="U6" i="19"/>
  <c r="V6" i="19"/>
  <c r="W6" i="19"/>
  <c r="X6" i="19"/>
  <c r="Y6" i="19"/>
  <c r="Z6" i="19"/>
  <c r="C6" i="19"/>
  <c r="D6" i="14"/>
  <c r="E6" i="14"/>
  <c r="F6" i="14"/>
  <c r="G6" i="14"/>
  <c r="H6" i="14"/>
  <c r="I6" i="14"/>
  <c r="J6" i="14"/>
  <c r="K6" i="14"/>
  <c r="L6" i="14"/>
  <c r="M6" i="14"/>
  <c r="N6" i="14"/>
  <c r="O6" i="14"/>
  <c r="P6" i="14"/>
  <c r="Q6" i="14"/>
  <c r="R6" i="14"/>
  <c r="S6" i="14"/>
  <c r="T6" i="14"/>
  <c r="U6" i="14"/>
  <c r="V6" i="14"/>
  <c r="W6" i="14"/>
  <c r="X6" i="14"/>
  <c r="Y6" i="14"/>
  <c r="Z6" i="14"/>
  <c r="C6" i="14"/>
  <c r="D4" i="18"/>
  <c r="E4" i="18"/>
  <c r="F4" i="18"/>
  <c r="G4" i="18"/>
  <c r="H4" i="18"/>
  <c r="I4" i="18"/>
  <c r="J4" i="18"/>
  <c r="K4" i="18"/>
  <c r="L4" i="18"/>
  <c r="M4" i="18"/>
  <c r="N4" i="18"/>
  <c r="O4" i="18"/>
  <c r="P4" i="18"/>
  <c r="Q4" i="18"/>
  <c r="R4" i="18"/>
  <c r="S4" i="18"/>
  <c r="T4" i="18"/>
  <c r="U4" i="18"/>
  <c r="V4" i="18"/>
  <c r="W4" i="18"/>
  <c r="X4" i="18"/>
  <c r="Y4" i="18"/>
  <c r="Z4" i="18"/>
  <c r="C4" i="18"/>
  <c r="D4" i="13"/>
  <c r="E4" i="13"/>
  <c r="F4" i="13"/>
  <c r="G4" i="13"/>
  <c r="H4" i="13"/>
  <c r="I4" i="13"/>
  <c r="J4" i="13"/>
  <c r="K4" i="13"/>
  <c r="L4" i="13"/>
  <c r="M4" i="13"/>
  <c r="N4" i="13"/>
  <c r="O4" i="13"/>
  <c r="P4" i="13"/>
  <c r="Q4" i="13"/>
  <c r="R4" i="13"/>
  <c r="S4" i="13"/>
  <c r="T4" i="13"/>
  <c r="U4" i="13"/>
  <c r="V4" i="13"/>
  <c r="W4" i="13"/>
  <c r="X4" i="13"/>
  <c r="Y4" i="13"/>
  <c r="Z4" i="13"/>
  <c r="C4" i="13"/>
  <c r="D4" i="17"/>
  <c r="E4" i="17"/>
  <c r="F4" i="17"/>
  <c r="G4" i="17"/>
  <c r="H4" i="17"/>
  <c r="I4" i="17"/>
  <c r="J4" i="17"/>
  <c r="K4" i="17"/>
  <c r="L4" i="17"/>
  <c r="M4" i="17"/>
  <c r="N4" i="17"/>
  <c r="O4" i="17"/>
  <c r="P4" i="17"/>
  <c r="Q4" i="17"/>
  <c r="R4" i="17"/>
  <c r="S4" i="17"/>
  <c r="T4" i="17"/>
  <c r="U4" i="17"/>
  <c r="V4" i="17"/>
  <c r="W4" i="17"/>
  <c r="X4" i="17"/>
  <c r="Y4" i="17"/>
  <c r="Z4" i="17"/>
  <c r="C4" i="17"/>
  <c r="D4" i="12"/>
  <c r="E4" i="12"/>
  <c r="F4" i="12"/>
  <c r="G4" i="12"/>
  <c r="H4" i="12"/>
  <c r="I4" i="12"/>
  <c r="J4" i="12"/>
  <c r="K4" i="12"/>
  <c r="L4" i="12"/>
  <c r="M4" i="12"/>
  <c r="N4" i="12"/>
  <c r="O4" i="12"/>
  <c r="P4" i="12"/>
  <c r="Q4" i="12"/>
  <c r="R4" i="12"/>
  <c r="S4" i="12"/>
  <c r="T4" i="12"/>
  <c r="U4" i="12"/>
  <c r="V4" i="12"/>
  <c r="W4" i="12"/>
  <c r="X4" i="12"/>
  <c r="Y4" i="12"/>
  <c r="Z4" i="12"/>
  <c r="C4" i="12"/>
  <c r="D8" i="16"/>
  <c r="E8" i="16"/>
  <c r="F8" i="16"/>
  <c r="G8" i="16"/>
  <c r="H8" i="16"/>
  <c r="I8" i="16"/>
  <c r="J8" i="16"/>
  <c r="K8" i="16"/>
  <c r="L8" i="16"/>
  <c r="M8" i="16"/>
  <c r="N8" i="16"/>
  <c r="O8" i="16"/>
  <c r="P8" i="16"/>
  <c r="Q8" i="16"/>
  <c r="R8" i="16"/>
  <c r="S8" i="16"/>
  <c r="T8" i="16"/>
  <c r="U8" i="16"/>
  <c r="V8" i="16"/>
  <c r="W8" i="16"/>
  <c r="X8" i="16"/>
  <c r="Y8" i="16"/>
  <c r="Z8" i="16"/>
  <c r="C8" i="16"/>
  <c r="D8" i="7"/>
  <c r="E8" i="7"/>
  <c r="F8" i="7"/>
  <c r="G8" i="7"/>
  <c r="H8" i="7"/>
  <c r="I8" i="7"/>
  <c r="J8" i="7"/>
  <c r="K8" i="7"/>
  <c r="L8" i="7"/>
  <c r="M8" i="7"/>
  <c r="N8" i="7"/>
  <c r="O8" i="7"/>
  <c r="P8" i="7"/>
  <c r="Q8" i="7"/>
  <c r="R8" i="7"/>
  <c r="S8" i="7"/>
  <c r="T8" i="7"/>
  <c r="U8" i="7"/>
  <c r="V8" i="7"/>
  <c r="W8" i="7"/>
  <c r="X8" i="7"/>
  <c r="Y8" i="7"/>
  <c r="Z8" i="7"/>
  <c r="C8" i="7"/>
  <c r="D4" i="15"/>
  <c r="E4" i="15"/>
  <c r="F4" i="15"/>
  <c r="G4" i="15"/>
  <c r="H4" i="15"/>
  <c r="I4" i="15"/>
  <c r="J4" i="15"/>
  <c r="K4" i="15"/>
  <c r="L4" i="15"/>
  <c r="M4" i="15"/>
  <c r="N4" i="15"/>
  <c r="O4" i="15"/>
  <c r="P4" i="15"/>
  <c r="Q4" i="15"/>
  <c r="R4" i="15"/>
  <c r="S4" i="15"/>
  <c r="T4" i="15"/>
  <c r="U4" i="15"/>
  <c r="V4" i="15"/>
  <c r="W4" i="15"/>
  <c r="X4" i="15"/>
  <c r="Y4" i="15"/>
  <c r="Z4" i="15"/>
  <c r="C4" i="15"/>
  <c r="D4" i="11"/>
  <c r="E4" i="11"/>
  <c r="F4" i="11"/>
  <c r="G4" i="11"/>
  <c r="H4" i="11"/>
  <c r="I4" i="11"/>
  <c r="J4" i="11"/>
  <c r="K4" i="11"/>
  <c r="L4" i="11"/>
  <c r="M4" i="11"/>
  <c r="N4" i="11"/>
  <c r="O4" i="11"/>
  <c r="P4" i="11"/>
  <c r="Q4" i="11"/>
  <c r="R4" i="11"/>
  <c r="S4" i="11"/>
  <c r="T4" i="11"/>
  <c r="U4" i="11"/>
  <c r="V4" i="11"/>
  <c r="W4" i="11"/>
  <c r="X4" i="11"/>
  <c r="Y4" i="11"/>
  <c r="Z4" i="11"/>
  <c r="C4" i="11"/>
  <c r="D11" i="6"/>
  <c r="E11" i="6"/>
  <c r="F11" i="6"/>
  <c r="G11" i="6"/>
  <c r="H11" i="6"/>
  <c r="I11" i="6"/>
  <c r="J11" i="6"/>
  <c r="K11" i="6"/>
  <c r="L11" i="6"/>
  <c r="M11" i="6"/>
  <c r="N11" i="6"/>
  <c r="O11" i="6"/>
  <c r="P11" i="6"/>
  <c r="Q11" i="6"/>
  <c r="R11" i="6"/>
  <c r="S11" i="6"/>
  <c r="T11" i="6"/>
  <c r="U11" i="6"/>
  <c r="V11" i="6"/>
  <c r="W11" i="6"/>
  <c r="X11" i="6"/>
  <c r="Y11" i="6"/>
  <c r="Z11" i="6"/>
  <c r="C11" i="6"/>
  <c r="D11" i="5"/>
  <c r="E11" i="5"/>
  <c r="F11" i="5"/>
  <c r="G11" i="5"/>
  <c r="H11" i="5"/>
  <c r="I11" i="5"/>
  <c r="J11" i="5"/>
  <c r="K11" i="5"/>
  <c r="L11" i="5"/>
  <c r="M11" i="5"/>
  <c r="N11" i="5"/>
  <c r="O11" i="5"/>
  <c r="P11" i="5"/>
  <c r="Q11" i="5"/>
  <c r="R11" i="5"/>
  <c r="S11" i="5"/>
  <c r="T11" i="5"/>
  <c r="U11" i="5"/>
  <c r="V11" i="5"/>
  <c r="W11" i="5"/>
  <c r="X11" i="5"/>
  <c r="Y11" i="5"/>
  <c r="Z11" i="5"/>
  <c r="D9" i="4"/>
  <c r="E9" i="4"/>
  <c r="F9" i="4"/>
  <c r="G9" i="4"/>
  <c r="H9" i="4"/>
  <c r="I9" i="4"/>
  <c r="J9" i="4"/>
  <c r="K9" i="4"/>
  <c r="L9" i="4"/>
  <c r="M9" i="4"/>
  <c r="N9" i="4"/>
  <c r="O9" i="4"/>
  <c r="P9" i="4"/>
  <c r="Q9" i="4"/>
  <c r="R9" i="4"/>
  <c r="S9" i="4"/>
  <c r="T9" i="4"/>
  <c r="U9" i="4"/>
  <c r="V9" i="4"/>
  <c r="W9" i="4"/>
  <c r="X9" i="4"/>
  <c r="Y9" i="4"/>
  <c r="Z9" i="4"/>
  <c r="Z9" i="3"/>
  <c r="W9" i="3"/>
  <c r="X9" i="3"/>
  <c r="Y9" i="3"/>
  <c r="R9" i="3"/>
  <c r="S9" i="3"/>
  <c r="T9" i="3"/>
  <c r="U9" i="3"/>
  <c r="V9" i="3"/>
  <c r="E9" i="3"/>
  <c r="F9" i="3"/>
  <c r="G9" i="3"/>
  <c r="H9" i="3"/>
  <c r="I9" i="3"/>
  <c r="J9" i="3"/>
  <c r="K9" i="3"/>
  <c r="L9" i="3"/>
  <c r="M9" i="3"/>
  <c r="N9" i="3"/>
  <c r="O9" i="3"/>
  <c r="P9" i="3"/>
  <c r="Q9" i="3"/>
  <c r="D9" i="3"/>
  <c r="D3" i="2" s="1"/>
  <c r="D4" i="2"/>
  <c r="F3" i="2" l="1"/>
  <c r="F4" i="2"/>
  <c r="E25" i="2"/>
  <c r="S24" i="2" l="1"/>
  <c r="S23" i="2"/>
  <c r="S22" i="2"/>
  <c r="S21" i="2"/>
  <c r="S20" i="2"/>
  <c r="S19" i="2"/>
  <c r="S18" i="2"/>
  <c r="S17" i="2"/>
  <c r="S15" i="2"/>
  <c r="S14" i="2"/>
  <c r="S13" i="2"/>
  <c r="S12" i="2"/>
  <c r="S11" i="2"/>
  <c r="S10" i="2"/>
  <c r="S9" i="2"/>
  <c r="S8" i="2"/>
  <c r="S7" i="2"/>
  <c r="S6" i="2"/>
  <c r="S5" i="2"/>
  <c r="S4" i="2"/>
  <c r="S2" i="2"/>
  <c r="R25" i="2"/>
  <c r="R24" i="2"/>
  <c r="R23" i="2"/>
  <c r="R22" i="2"/>
  <c r="R21" i="2"/>
  <c r="R20" i="2"/>
  <c r="R19" i="2"/>
  <c r="R18" i="2"/>
  <c r="R17" i="2"/>
  <c r="R16" i="2"/>
  <c r="R15" i="2"/>
  <c r="R14" i="2"/>
  <c r="R13" i="2"/>
  <c r="R12" i="2"/>
  <c r="R11" i="2"/>
  <c r="R10" i="2"/>
  <c r="R9" i="2"/>
  <c r="R8" i="2"/>
  <c r="R7" i="2"/>
  <c r="R6" i="2"/>
  <c r="R5" i="2"/>
  <c r="R4" i="2"/>
  <c r="R3" i="2"/>
  <c r="Z8" i="20"/>
  <c r="Z9" i="20" s="1"/>
  <c r="S25" i="2" s="1"/>
  <c r="Y8" i="20"/>
  <c r="X8" i="20"/>
  <c r="W8" i="20"/>
  <c r="V8" i="20"/>
  <c r="U8" i="20"/>
  <c r="T8" i="20"/>
  <c r="S8" i="20"/>
  <c r="R8" i="20"/>
  <c r="Q8" i="20"/>
  <c r="S16" i="2" s="1"/>
  <c r="P8" i="20"/>
  <c r="O8" i="20"/>
  <c r="N8" i="20"/>
  <c r="M8" i="20"/>
  <c r="L8" i="20"/>
  <c r="K8" i="20"/>
  <c r="J8" i="20"/>
  <c r="I8" i="20"/>
  <c r="H8" i="20"/>
  <c r="G8" i="20"/>
  <c r="F8" i="20"/>
  <c r="E8" i="20"/>
  <c r="D8" i="20"/>
  <c r="S3" i="2" s="1"/>
  <c r="C8" i="20"/>
  <c r="Z1" i="20"/>
  <c r="Y1" i="20"/>
  <c r="X1" i="20"/>
  <c r="W1" i="20"/>
  <c r="V1" i="20"/>
  <c r="U1" i="20"/>
  <c r="T1" i="20"/>
  <c r="S1" i="20"/>
  <c r="R1" i="20"/>
  <c r="Q1" i="20"/>
  <c r="P1" i="20"/>
  <c r="O1" i="20"/>
  <c r="N1" i="20"/>
  <c r="M1" i="20"/>
  <c r="L1" i="20"/>
  <c r="K1" i="20"/>
  <c r="J1" i="20"/>
  <c r="I1" i="20"/>
  <c r="H1" i="20"/>
  <c r="G1" i="20"/>
  <c r="F1" i="20"/>
  <c r="E1" i="20"/>
  <c r="D1" i="20"/>
  <c r="C1" i="20"/>
  <c r="Z1" i="10"/>
  <c r="Y1" i="10"/>
  <c r="X1" i="10"/>
  <c r="W1" i="10"/>
  <c r="V1" i="10"/>
  <c r="U1" i="10"/>
  <c r="T1" i="10"/>
  <c r="S1" i="10"/>
  <c r="R1" i="10"/>
  <c r="Q1" i="10"/>
  <c r="P1" i="10"/>
  <c r="O1" i="10"/>
  <c r="N1" i="10"/>
  <c r="M1" i="10"/>
  <c r="L1" i="10"/>
  <c r="K1" i="10"/>
  <c r="J1" i="10"/>
  <c r="I1" i="10"/>
  <c r="H1" i="10"/>
  <c r="G1" i="10"/>
  <c r="F1" i="10"/>
  <c r="E1" i="10"/>
  <c r="D1" i="10"/>
  <c r="C1" i="10"/>
  <c r="D8" i="10"/>
  <c r="E8" i="10"/>
  <c r="F8" i="10"/>
  <c r="G8" i="10"/>
  <c r="H8" i="10"/>
  <c r="I8" i="10"/>
  <c r="J8" i="10"/>
  <c r="K8" i="10"/>
  <c r="L8" i="10"/>
  <c r="M8" i="10"/>
  <c r="N8" i="10"/>
  <c r="O8" i="10"/>
  <c r="P8" i="10"/>
  <c r="Q8" i="10"/>
  <c r="R8" i="10"/>
  <c r="S8" i="10"/>
  <c r="T8" i="10"/>
  <c r="U8" i="10"/>
  <c r="V8" i="10"/>
  <c r="W8" i="10"/>
  <c r="X8" i="10"/>
  <c r="Y8" i="10"/>
  <c r="Z8" i="10"/>
  <c r="Z9" i="10" s="1"/>
  <c r="C8" i="10"/>
  <c r="R2" i="2" s="1"/>
  <c r="Q25" i="2"/>
  <c r="Q24" i="2"/>
  <c r="Q23" i="2"/>
  <c r="Q22" i="2"/>
  <c r="Q21" i="2"/>
  <c r="Q20" i="2"/>
  <c r="Q19" i="2"/>
  <c r="Q18" i="2"/>
  <c r="Q17" i="2"/>
  <c r="Q16" i="2"/>
  <c r="Q15" i="2"/>
  <c r="Q14" i="2"/>
  <c r="Q13" i="2"/>
  <c r="Q12" i="2"/>
  <c r="Q11" i="2"/>
  <c r="Q10" i="2"/>
  <c r="Q9" i="2"/>
  <c r="Q8" i="2"/>
  <c r="Q7" i="2"/>
  <c r="Q6" i="2"/>
  <c r="Q5" i="2"/>
  <c r="Q4" i="2"/>
  <c r="P25" i="2"/>
  <c r="P24" i="2"/>
  <c r="P23" i="2"/>
  <c r="P22" i="2"/>
  <c r="P21" i="2"/>
  <c r="P20" i="2"/>
  <c r="P19" i="2"/>
  <c r="P18" i="2"/>
  <c r="P17" i="2"/>
  <c r="P16" i="2"/>
  <c r="P15" i="2"/>
  <c r="P14" i="2"/>
  <c r="P13" i="2"/>
  <c r="P12" i="2"/>
  <c r="P11" i="2"/>
  <c r="P10" i="2"/>
  <c r="P9" i="2"/>
  <c r="P8" i="2"/>
  <c r="P7" i="2"/>
  <c r="P6" i="2"/>
  <c r="P5" i="2"/>
  <c r="P4" i="2"/>
  <c r="P3" i="2"/>
  <c r="P2" i="2"/>
  <c r="Z5" i="19"/>
  <c r="Y5" i="19"/>
  <c r="X5" i="19"/>
  <c r="W5" i="19"/>
  <c r="V5" i="19"/>
  <c r="U5" i="19"/>
  <c r="T5" i="19"/>
  <c r="S5" i="19"/>
  <c r="R5" i="19"/>
  <c r="Q5" i="19"/>
  <c r="P5" i="19"/>
  <c r="O5" i="19"/>
  <c r="N5" i="19"/>
  <c r="M5" i="19"/>
  <c r="L5" i="19"/>
  <c r="K5" i="19"/>
  <c r="J5" i="19"/>
  <c r="I5" i="19"/>
  <c r="H5" i="19"/>
  <c r="G5" i="19"/>
  <c r="F5" i="19"/>
  <c r="E5" i="19"/>
  <c r="D5" i="19"/>
  <c r="Q3" i="2" s="1"/>
  <c r="C5" i="19"/>
  <c r="Q2" i="2" s="1"/>
  <c r="Z1" i="19"/>
  <c r="Y1" i="19"/>
  <c r="X1" i="19"/>
  <c r="W1" i="19"/>
  <c r="V1" i="19"/>
  <c r="U1" i="19"/>
  <c r="T1" i="19"/>
  <c r="S1" i="19"/>
  <c r="R1" i="19"/>
  <c r="Q1" i="19"/>
  <c r="P1" i="19"/>
  <c r="O1" i="19"/>
  <c r="N1" i="19"/>
  <c r="M1" i="19"/>
  <c r="L1" i="19"/>
  <c r="K1" i="19"/>
  <c r="J1" i="19"/>
  <c r="I1" i="19"/>
  <c r="H1" i="19"/>
  <c r="G1" i="19"/>
  <c r="F1" i="19"/>
  <c r="E1" i="19"/>
  <c r="D1" i="19"/>
  <c r="C1" i="19"/>
  <c r="D5" i="14"/>
  <c r="E5" i="14"/>
  <c r="F5" i="14"/>
  <c r="G5" i="14"/>
  <c r="H5" i="14"/>
  <c r="I5" i="14"/>
  <c r="J5" i="14"/>
  <c r="K5" i="14"/>
  <c r="L5" i="14"/>
  <c r="M5" i="14"/>
  <c r="N5" i="14"/>
  <c r="O5" i="14"/>
  <c r="P5" i="14"/>
  <c r="Q5" i="14"/>
  <c r="R5" i="14"/>
  <c r="S5" i="14"/>
  <c r="T5" i="14"/>
  <c r="U5" i="14"/>
  <c r="V5" i="14"/>
  <c r="W5" i="14"/>
  <c r="X5" i="14"/>
  <c r="Y5" i="14"/>
  <c r="Z5" i="14"/>
  <c r="C5" i="14"/>
  <c r="Z1" i="14"/>
  <c r="Y1" i="14"/>
  <c r="X1" i="14"/>
  <c r="W1" i="14"/>
  <c r="V1" i="14"/>
  <c r="U1" i="14"/>
  <c r="T1" i="14"/>
  <c r="S1" i="14"/>
  <c r="R1" i="14"/>
  <c r="Q1" i="14"/>
  <c r="P1" i="14"/>
  <c r="O1" i="14"/>
  <c r="N1" i="14"/>
  <c r="M1" i="14"/>
  <c r="L1" i="14"/>
  <c r="K1" i="14"/>
  <c r="J1" i="14"/>
  <c r="I1" i="14"/>
  <c r="H1" i="14"/>
  <c r="G1" i="14"/>
  <c r="F1" i="14"/>
  <c r="E1" i="14"/>
  <c r="D1" i="14"/>
  <c r="C1" i="14"/>
  <c r="O25" i="2"/>
  <c r="O24" i="2"/>
  <c r="O23" i="2"/>
  <c r="O22" i="2"/>
  <c r="O21" i="2"/>
  <c r="O20" i="2"/>
  <c r="O19" i="2"/>
  <c r="O18" i="2"/>
  <c r="O17" i="2"/>
  <c r="O16" i="2"/>
  <c r="O15" i="2"/>
  <c r="O14" i="2"/>
  <c r="O13" i="2"/>
  <c r="O12" i="2"/>
  <c r="O11" i="2"/>
  <c r="O10" i="2"/>
  <c r="O9" i="2"/>
  <c r="O8" i="2"/>
  <c r="O7" i="2"/>
  <c r="O6" i="2"/>
  <c r="O5" i="2"/>
  <c r="O4" i="2"/>
  <c r="O2" i="2"/>
  <c r="N25" i="2"/>
  <c r="N24" i="2"/>
  <c r="N23" i="2"/>
  <c r="N22" i="2"/>
  <c r="N21" i="2"/>
  <c r="N20" i="2"/>
  <c r="N19" i="2"/>
  <c r="N18" i="2"/>
  <c r="N17" i="2"/>
  <c r="N16" i="2"/>
  <c r="N15" i="2"/>
  <c r="N14" i="2"/>
  <c r="N13" i="2"/>
  <c r="N12" i="2"/>
  <c r="N11" i="2"/>
  <c r="N10" i="2"/>
  <c r="N9" i="2"/>
  <c r="N8" i="2"/>
  <c r="N7" i="2"/>
  <c r="N6" i="2"/>
  <c r="N5" i="2"/>
  <c r="N4" i="2"/>
  <c r="N3" i="2"/>
  <c r="O3" i="2"/>
  <c r="Z1" i="18"/>
  <c r="Y1" i="18"/>
  <c r="X1" i="18"/>
  <c r="W1" i="18"/>
  <c r="V1" i="18"/>
  <c r="U1" i="18"/>
  <c r="T1" i="18"/>
  <c r="S1" i="18"/>
  <c r="R1" i="18"/>
  <c r="Q1" i="18"/>
  <c r="P1" i="18"/>
  <c r="O1" i="18"/>
  <c r="N1" i="18"/>
  <c r="M1" i="18"/>
  <c r="L1" i="18"/>
  <c r="K1" i="18"/>
  <c r="J1" i="18"/>
  <c r="I1" i="18"/>
  <c r="H1" i="18"/>
  <c r="G1" i="18"/>
  <c r="F1" i="18"/>
  <c r="E1" i="18"/>
  <c r="D1" i="18"/>
  <c r="C1" i="18"/>
  <c r="Z1" i="13"/>
  <c r="Y1" i="13"/>
  <c r="X1" i="13"/>
  <c r="W1" i="13"/>
  <c r="V1" i="13"/>
  <c r="U1" i="13"/>
  <c r="T1" i="13"/>
  <c r="S1" i="13"/>
  <c r="R1" i="13"/>
  <c r="Q1" i="13"/>
  <c r="P1" i="13"/>
  <c r="O1" i="13"/>
  <c r="N1" i="13"/>
  <c r="M1" i="13"/>
  <c r="L1" i="13"/>
  <c r="K1" i="13"/>
  <c r="J1" i="13"/>
  <c r="I1" i="13"/>
  <c r="H1" i="13"/>
  <c r="G1" i="13"/>
  <c r="F1" i="13"/>
  <c r="E1" i="13"/>
  <c r="D1" i="13"/>
  <c r="C1" i="13"/>
  <c r="N2" i="2"/>
  <c r="M25" i="2"/>
  <c r="M24" i="2"/>
  <c r="M23" i="2"/>
  <c r="M22" i="2"/>
  <c r="M21" i="2"/>
  <c r="M20" i="2"/>
  <c r="M19" i="2"/>
  <c r="M18" i="2"/>
  <c r="M17" i="2"/>
  <c r="M16" i="2"/>
  <c r="M15" i="2"/>
  <c r="M14" i="2"/>
  <c r="M13" i="2"/>
  <c r="M12" i="2"/>
  <c r="M11" i="2"/>
  <c r="M10" i="2"/>
  <c r="M9" i="2"/>
  <c r="M8" i="2"/>
  <c r="M7" i="2"/>
  <c r="M6" i="2"/>
  <c r="M5" i="2"/>
  <c r="M4" i="2"/>
  <c r="M3" i="2"/>
  <c r="L25" i="2"/>
  <c r="L24" i="2"/>
  <c r="L23" i="2"/>
  <c r="L22" i="2"/>
  <c r="L21" i="2"/>
  <c r="L20" i="2"/>
  <c r="L19" i="2"/>
  <c r="L18" i="2"/>
  <c r="L17" i="2"/>
  <c r="L16" i="2"/>
  <c r="L15" i="2"/>
  <c r="L14" i="2"/>
  <c r="L13" i="2"/>
  <c r="L12" i="2"/>
  <c r="L11" i="2"/>
  <c r="L10" i="2"/>
  <c r="L9" i="2"/>
  <c r="L8" i="2"/>
  <c r="L7" i="2"/>
  <c r="L6" i="2"/>
  <c r="L5" i="2"/>
  <c r="L4" i="2"/>
  <c r="M2" i="2"/>
  <c r="Z1" i="17"/>
  <c r="Y1" i="17"/>
  <c r="X1" i="17"/>
  <c r="W1" i="17"/>
  <c r="V1" i="17"/>
  <c r="U1" i="17"/>
  <c r="T1" i="17"/>
  <c r="S1" i="17"/>
  <c r="R1" i="17"/>
  <c r="Q1" i="17"/>
  <c r="P1" i="17"/>
  <c r="O1" i="17"/>
  <c r="N1" i="17"/>
  <c r="M1" i="17"/>
  <c r="L1" i="17"/>
  <c r="K1" i="17"/>
  <c r="J1" i="17"/>
  <c r="I1" i="17"/>
  <c r="H1" i="17"/>
  <c r="G1" i="17"/>
  <c r="F1" i="17"/>
  <c r="E1" i="17"/>
  <c r="D1" i="17"/>
  <c r="C1" i="17"/>
  <c r="L3" i="2"/>
  <c r="Z1" i="12"/>
  <c r="Y1" i="12"/>
  <c r="X1" i="12"/>
  <c r="W1" i="12"/>
  <c r="V1" i="12"/>
  <c r="U1" i="12"/>
  <c r="T1" i="12"/>
  <c r="S1" i="12"/>
  <c r="R1" i="12"/>
  <c r="Q1" i="12"/>
  <c r="P1" i="12"/>
  <c r="O1" i="12"/>
  <c r="N1" i="12"/>
  <c r="M1" i="12"/>
  <c r="L1" i="12"/>
  <c r="K1" i="12"/>
  <c r="J1" i="12"/>
  <c r="I1" i="12"/>
  <c r="H1" i="12"/>
  <c r="G1" i="12"/>
  <c r="F1" i="12"/>
  <c r="E1" i="12"/>
  <c r="D1" i="12"/>
  <c r="C1" i="12"/>
  <c r="L2" i="2"/>
  <c r="K25" i="2"/>
  <c r="K24" i="2"/>
  <c r="K23" i="2"/>
  <c r="K22" i="2"/>
  <c r="K21" i="2"/>
  <c r="K20" i="2"/>
  <c r="K19" i="2"/>
  <c r="K18" i="2"/>
  <c r="K17" i="2"/>
  <c r="K16" i="2"/>
  <c r="K15" i="2"/>
  <c r="K14" i="2"/>
  <c r="K13" i="2"/>
  <c r="K12" i="2"/>
  <c r="K11" i="2"/>
  <c r="K10" i="2"/>
  <c r="K9" i="2"/>
  <c r="K8" i="2"/>
  <c r="K7" i="2"/>
  <c r="K6" i="2"/>
  <c r="K5" i="2"/>
  <c r="K4" i="2"/>
  <c r="K3" i="2"/>
  <c r="J25" i="2"/>
  <c r="J24" i="2"/>
  <c r="J23" i="2"/>
  <c r="J22" i="2"/>
  <c r="J21" i="2"/>
  <c r="J20" i="2"/>
  <c r="J19" i="2"/>
  <c r="J18" i="2"/>
  <c r="J17" i="2"/>
  <c r="J16" i="2"/>
  <c r="J15" i="2"/>
  <c r="J14" i="2"/>
  <c r="J13" i="2"/>
  <c r="J12" i="2"/>
  <c r="J11" i="2"/>
  <c r="J10" i="2"/>
  <c r="J9" i="2"/>
  <c r="J8" i="2"/>
  <c r="J7" i="2"/>
  <c r="J6" i="2"/>
  <c r="J5" i="2"/>
  <c r="J4" i="2"/>
  <c r="I25" i="2"/>
  <c r="I24" i="2"/>
  <c r="I23" i="2"/>
  <c r="I22" i="2"/>
  <c r="I21" i="2"/>
  <c r="I20" i="2"/>
  <c r="I19" i="2"/>
  <c r="I18" i="2"/>
  <c r="I17" i="2"/>
  <c r="I16" i="2"/>
  <c r="I15" i="2"/>
  <c r="I14" i="2"/>
  <c r="I13" i="2"/>
  <c r="I12" i="2"/>
  <c r="I11" i="2"/>
  <c r="I10" i="2"/>
  <c r="I9" i="2"/>
  <c r="I8" i="2"/>
  <c r="I7" i="2"/>
  <c r="I6" i="2"/>
  <c r="I5" i="2"/>
  <c r="I4" i="2"/>
  <c r="H25" i="2"/>
  <c r="H24" i="2"/>
  <c r="H23" i="2"/>
  <c r="H22" i="2"/>
  <c r="H21" i="2"/>
  <c r="H20" i="2"/>
  <c r="H19" i="2"/>
  <c r="H18" i="2"/>
  <c r="H17" i="2"/>
  <c r="H16" i="2"/>
  <c r="H15" i="2"/>
  <c r="H14" i="2"/>
  <c r="H13" i="2"/>
  <c r="H12" i="2"/>
  <c r="H3" i="2"/>
  <c r="H4" i="2"/>
  <c r="H5" i="2"/>
  <c r="H6" i="2"/>
  <c r="H7" i="2"/>
  <c r="H8" i="2"/>
  <c r="H9" i="2"/>
  <c r="H10" i="2"/>
  <c r="H11" i="2"/>
  <c r="Z7" i="16"/>
  <c r="Y7" i="16"/>
  <c r="X7" i="16"/>
  <c r="W7" i="16"/>
  <c r="V7" i="16"/>
  <c r="U7" i="16"/>
  <c r="T7" i="16"/>
  <c r="S7" i="16"/>
  <c r="R7" i="16"/>
  <c r="Q7" i="16"/>
  <c r="P7" i="16"/>
  <c r="O7" i="16"/>
  <c r="N7" i="16"/>
  <c r="M7" i="16"/>
  <c r="L7" i="16"/>
  <c r="K7" i="16"/>
  <c r="J7" i="16"/>
  <c r="I7" i="16"/>
  <c r="H7" i="16"/>
  <c r="G7" i="16"/>
  <c r="F7" i="16"/>
  <c r="E7" i="16"/>
  <c r="D7" i="16"/>
  <c r="C7" i="16"/>
  <c r="K2" i="2" s="1"/>
  <c r="Z1" i="16"/>
  <c r="Y1" i="16"/>
  <c r="X1" i="16"/>
  <c r="W1" i="16"/>
  <c r="V1" i="16"/>
  <c r="U1" i="16"/>
  <c r="T1" i="16"/>
  <c r="S1" i="16"/>
  <c r="R1" i="16"/>
  <c r="Q1" i="16"/>
  <c r="P1" i="16"/>
  <c r="O1" i="16"/>
  <c r="N1" i="16"/>
  <c r="M1" i="16"/>
  <c r="L1" i="16"/>
  <c r="K1" i="16"/>
  <c r="J1" i="16"/>
  <c r="I1" i="16"/>
  <c r="H1" i="16"/>
  <c r="G1" i="16"/>
  <c r="F1" i="16"/>
  <c r="E1" i="16"/>
  <c r="D1" i="16"/>
  <c r="C1" i="16"/>
  <c r="I3" i="2"/>
  <c r="I2" i="2"/>
  <c r="H2" i="2"/>
  <c r="E7" i="7"/>
  <c r="F7" i="7"/>
  <c r="G7" i="7"/>
  <c r="H7" i="7"/>
  <c r="I7" i="7"/>
  <c r="J7" i="7"/>
  <c r="K7" i="7"/>
  <c r="L7" i="7"/>
  <c r="M7" i="7"/>
  <c r="N7" i="7"/>
  <c r="O7" i="7"/>
  <c r="P7" i="7"/>
  <c r="Q7" i="7"/>
  <c r="R7" i="7"/>
  <c r="S7" i="7"/>
  <c r="T7" i="7"/>
  <c r="U7" i="7"/>
  <c r="V7" i="7"/>
  <c r="W7" i="7"/>
  <c r="X7" i="7"/>
  <c r="Y7" i="7"/>
  <c r="Z7" i="7"/>
  <c r="D7" i="7"/>
  <c r="J3" i="2" s="1"/>
  <c r="C7" i="7"/>
  <c r="J2" i="2" s="1"/>
  <c r="Z1" i="7"/>
  <c r="Y1" i="7"/>
  <c r="X1" i="7"/>
  <c r="W1" i="7"/>
  <c r="V1" i="7"/>
  <c r="U1" i="7"/>
  <c r="T1" i="7"/>
  <c r="S1" i="7"/>
  <c r="R1" i="7"/>
  <c r="Q1" i="7"/>
  <c r="P1" i="7"/>
  <c r="O1" i="7"/>
  <c r="N1" i="7"/>
  <c r="M1" i="7"/>
  <c r="L1" i="7"/>
  <c r="K1" i="7"/>
  <c r="J1" i="7"/>
  <c r="I1" i="7"/>
  <c r="H1" i="7"/>
  <c r="G1" i="7"/>
  <c r="F1" i="7"/>
  <c r="E1" i="7"/>
  <c r="D1" i="7"/>
  <c r="C1" i="7"/>
  <c r="Z1" i="15"/>
  <c r="Y1" i="15"/>
  <c r="X1" i="15"/>
  <c r="W1" i="15"/>
  <c r="V1" i="15"/>
  <c r="U1" i="15"/>
  <c r="T1" i="15"/>
  <c r="S1" i="15"/>
  <c r="R1" i="15"/>
  <c r="Q1" i="15"/>
  <c r="P1" i="15"/>
  <c r="O1" i="15"/>
  <c r="N1" i="15"/>
  <c r="M1" i="15"/>
  <c r="L1" i="15"/>
  <c r="K1" i="15"/>
  <c r="J1" i="15"/>
  <c r="I1" i="15"/>
  <c r="H1" i="15"/>
  <c r="G1" i="15"/>
  <c r="F1" i="15"/>
  <c r="E1" i="15"/>
  <c r="D1" i="15"/>
  <c r="C1" i="15"/>
  <c r="Z1" i="11"/>
  <c r="Y1" i="11"/>
  <c r="X1" i="11"/>
  <c r="W1" i="11"/>
  <c r="V1" i="11"/>
  <c r="U1" i="11"/>
  <c r="T1" i="11"/>
  <c r="S1" i="11"/>
  <c r="R1" i="11"/>
  <c r="Q1" i="11"/>
  <c r="P1" i="11"/>
  <c r="O1" i="11"/>
  <c r="N1" i="11"/>
  <c r="M1" i="11"/>
  <c r="L1" i="11"/>
  <c r="K1" i="11"/>
  <c r="J1" i="11"/>
  <c r="I1" i="11"/>
  <c r="H1" i="11"/>
  <c r="G1" i="11"/>
  <c r="F1" i="11"/>
  <c r="E1" i="11"/>
  <c r="D1" i="11"/>
  <c r="C1" i="11"/>
  <c r="C1" i="3"/>
  <c r="G25" i="2"/>
  <c r="G24" i="2"/>
  <c r="G23" i="2"/>
  <c r="G22" i="2"/>
  <c r="G21" i="2"/>
  <c r="G20" i="2"/>
  <c r="G19" i="2"/>
  <c r="G18" i="2"/>
  <c r="G17" i="2"/>
  <c r="G16" i="2"/>
  <c r="G15" i="2"/>
  <c r="G14" i="2"/>
  <c r="G13" i="2"/>
  <c r="G12" i="2"/>
  <c r="G11" i="2"/>
  <c r="G10" i="2"/>
  <c r="G9" i="2"/>
  <c r="G8" i="2"/>
  <c r="G7" i="2"/>
  <c r="G6" i="2"/>
  <c r="G5" i="2"/>
  <c r="G4" i="2"/>
  <c r="G3" i="2"/>
  <c r="G2" i="2"/>
  <c r="F25" i="2"/>
  <c r="F24" i="2"/>
  <c r="F23" i="2"/>
  <c r="F22" i="2"/>
  <c r="F21" i="2"/>
  <c r="F20" i="2"/>
  <c r="F19" i="2"/>
  <c r="F18" i="2"/>
  <c r="F17" i="2"/>
  <c r="F16" i="2"/>
  <c r="F15" i="2"/>
  <c r="F14" i="2"/>
  <c r="F13" i="2"/>
  <c r="F12" i="2"/>
  <c r="F11" i="2"/>
  <c r="F10" i="2"/>
  <c r="F9" i="2"/>
  <c r="F8" i="2"/>
  <c r="F7" i="2"/>
  <c r="F6" i="2"/>
  <c r="F5" i="2"/>
  <c r="Z1" i="6"/>
  <c r="Y1" i="6"/>
  <c r="X1" i="6"/>
  <c r="W1" i="6"/>
  <c r="V1" i="6"/>
  <c r="U1" i="6"/>
  <c r="T1" i="6"/>
  <c r="S1" i="6"/>
  <c r="R1" i="6"/>
  <c r="Q1" i="6"/>
  <c r="P1" i="6"/>
  <c r="O1" i="6"/>
  <c r="N1" i="6"/>
  <c r="M1" i="6"/>
  <c r="L1" i="6"/>
  <c r="K1" i="6"/>
  <c r="J1" i="6"/>
  <c r="I1" i="6"/>
  <c r="H1" i="6"/>
  <c r="G1" i="6"/>
  <c r="F1" i="6"/>
  <c r="E1" i="6"/>
  <c r="D1" i="6"/>
  <c r="Z1" i="5"/>
  <c r="Y1" i="5"/>
  <c r="X1" i="5"/>
  <c r="W1" i="5"/>
  <c r="V1" i="5"/>
  <c r="U1" i="5"/>
  <c r="T1" i="5"/>
  <c r="S1" i="5"/>
  <c r="R1" i="5"/>
  <c r="Q1" i="5"/>
  <c r="P1" i="5"/>
  <c r="O1" i="5"/>
  <c r="N1" i="5"/>
  <c r="M1" i="5"/>
  <c r="L1" i="5"/>
  <c r="K1" i="5"/>
  <c r="J1" i="5"/>
  <c r="I1" i="5"/>
  <c r="H1" i="5"/>
  <c r="G1" i="5"/>
  <c r="F1" i="5"/>
  <c r="E1" i="5"/>
  <c r="D1" i="5"/>
  <c r="Z1" i="4"/>
  <c r="Y1" i="4"/>
  <c r="X1" i="4"/>
  <c r="W1" i="4"/>
  <c r="V1" i="4"/>
  <c r="U1" i="4"/>
  <c r="T1" i="4"/>
  <c r="S1" i="4"/>
  <c r="R1" i="4"/>
  <c r="Q1" i="4"/>
  <c r="P1" i="4"/>
  <c r="O1" i="4"/>
  <c r="N1" i="4"/>
  <c r="M1" i="4"/>
  <c r="L1" i="4"/>
  <c r="K1" i="4"/>
  <c r="J1" i="4"/>
  <c r="I1" i="4"/>
  <c r="H1" i="4"/>
  <c r="G1" i="4"/>
  <c r="F1" i="4"/>
  <c r="E1" i="4"/>
  <c r="D1" i="4"/>
  <c r="Z1" i="3"/>
  <c r="Y1" i="3"/>
  <c r="X1" i="3"/>
  <c r="W1" i="3"/>
  <c r="V1" i="3"/>
  <c r="U1" i="3"/>
  <c r="T1" i="3"/>
  <c r="S1" i="3"/>
  <c r="R1" i="3"/>
  <c r="Q1" i="3"/>
  <c r="P1" i="3"/>
  <c r="O1" i="3"/>
  <c r="N1" i="3"/>
  <c r="M1" i="3"/>
  <c r="L1" i="3"/>
  <c r="K1" i="3"/>
  <c r="J1" i="3"/>
  <c r="I1" i="3"/>
  <c r="H1" i="3"/>
  <c r="G1" i="3"/>
  <c r="F1" i="3"/>
  <c r="E1" i="3"/>
  <c r="D1" i="3"/>
  <c r="Z10" i="6"/>
  <c r="Y10" i="6"/>
  <c r="X10" i="6"/>
  <c r="W10" i="6"/>
  <c r="V10" i="6"/>
  <c r="U10" i="6"/>
  <c r="T10" i="6"/>
  <c r="S10" i="6"/>
  <c r="R10" i="6"/>
  <c r="Q10" i="6"/>
  <c r="P10" i="6"/>
  <c r="O10" i="6"/>
  <c r="N10" i="6"/>
  <c r="M10" i="6"/>
  <c r="L10" i="6"/>
  <c r="K10" i="6"/>
  <c r="J10" i="6"/>
  <c r="I10" i="6"/>
  <c r="H10" i="6"/>
  <c r="G10" i="6"/>
  <c r="F10" i="6"/>
  <c r="E10" i="6"/>
  <c r="D10" i="6"/>
  <c r="C10" i="6"/>
  <c r="C1" i="6"/>
  <c r="D10" i="5"/>
  <c r="E10" i="5"/>
  <c r="F10" i="5"/>
  <c r="G10" i="5"/>
  <c r="H10" i="5"/>
  <c r="I10" i="5"/>
  <c r="J10" i="5"/>
  <c r="K10" i="5"/>
  <c r="L10" i="5"/>
  <c r="M10" i="5"/>
  <c r="N10" i="5"/>
  <c r="O10" i="5"/>
  <c r="P10" i="5"/>
  <c r="Q10" i="5"/>
  <c r="R10" i="5"/>
  <c r="S10" i="5"/>
  <c r="T10" i="5"/>
  <c r="U10" i="5"/>
  <c r="V10" i="5"/>
  <c r="W10" i="5"/>
  <c r="X10" i="5"/>
  <c r="Y10" i="5"/>
  <c r="Z10" i="5"/>
  <c r="C10" i="5"/>
  <c r="C11" i="5" s="1"/>
  <c r="F2" i="2" s="1"/>
  <c r="C1" i="5"/>
  <c r="Z8" i="4"/>
  <c r="Y8" i="4"/>
  <c r="E24" i="2" s="1"/>
  <c r="X8" i="4"/>
  <c r="E23" i="2" s="1"/>
  <c r="W8" i="4"/>
  <c r="E22" i="2" s="1"/>
  <c r="V8" i="4"/>
  <c r="E21" i="2" s="1"/>
  <c r="U8" i="4"/>
  <c r="E20" i="2" s="1"/>
  <c r="T8" i="4"/>
  <c r="E19" i="2" s="1"/>
  <c r="S8" i="4"/>
  <c r="E18" i="2" s="1"/>
  <c r="R8" i="4"/>
  <c r="E17" i="2" s="1"/>
  <c r="Q8" i="4"/>
  <c r="E16" i="2" s="1"/>
  <c r="P8" i="4"/>
  <c r="E15" i="2" s="1"/>
  <c r="O8" i="4"/>
  <c r="E14" i="2" s="1"/>
  <c r="N8" i="4"/>
  <c r="E13" i="2" s="1"/>
  <c r="M8" i="4"/>
  <c r="E12" i="2" s="1"/>
  <c r="L8" i="4"/>
  <c r="E11" i="2" s="1"/>
  <c r="K8" i="4"/>
  <c r="E10" i="2" s="1"/>
  <c r="J8" i="4"/>
  <c r="E9" i="2" s="1"/>
  <c r="I8" i="4"/>
  <c r="E8" i="2" s="1"/>
  <c r="H8" i="4"/>
  <c r="E7" i="2" s="1"/>
  <c r="G8" i="4"/>
  <c r="E6" i="2" s="1"/>
  <c r="F8" i="4"/>
  <c r="E5" i="2" s="1"/>
  <c r="E8" i="4"/>
  <c r="E4" i="2" s="1"/>
  <c r="C4" i="2" s="1"/>
  <c r="D8" i="4"/>
  <c r="C8" i="4"/>
  <c r="C9" i="4" s="1"/>
  <c r="E2" i="2" s="1"/>
  <c r="C1" i="4"/>
  <c r="D9" i="2"/>
  <c r="D14" i="2"/>
  <c r="D15" i="2"/>
  <c r="D23" i="2"/>
  <c r="D8" i="3"/>
  <c r="E8" i="3"/>
  <c r="F8" i="3"/>
  <c r="D5" i="2" s="1"/>
  <c r="G8" i="3"/>
  <c r="D6" i="2" s="1"/>
  <c r="H8" i="3"/>
  <c r="D7" i="2" s="1"/>
  <c r="I8" i="3"/>
  <c r="D8" i="2" s="1"/>
  <c r="J8" i="3"/>
  <c r="K8" i="3"/>
  <c r="D10" i="2" s="1"/>
  <c r="L8" i="3"/>
  <c r="D11" i="2" s="1"/>
  <c r="M8" i="3"/>
  <c r="D12" i="2" s="1"/>
  <c r="N8" i="3"/>
  <c r="D13" i="2" s="1"/>
  <c r="O8" i="3"/>
  <c r="P8" i="3"/>
  <c r="Q8" i="3"/>
  <c r="D16" i="2" s="1"/>
  <c r="R8" i="3"/>
  <c r="D17" i="2" s="1"/>
  <c r="S8" i="3"/>
  <c r="D18" i="2" s="1"/>
  <c r="T8" i="3"/>
  <c r="D19" i="2" s="1"/>
  <c r="U8" i="3"/>
  <c r="D20" i="2" s="1"/>
  <c r="V8" i="3"/>
  <c r="D21" i="2" s="1"/>
  <c r="W8" i="3"/>
  <c r="D22" i="2" s="1"/>
  <c r="X8" i="3"/>
  <c r="Y8" i="3"/>
  <c r="D24" i="2" s="1"/>
  <c r="Z8" i="3"/>
  <c r="C8" i="3"/>
  <c r="B3" i="2"/>
  <c r="B4" i="2"/>
  <c r="B5" i="2"/>
  <c r="B6" i="2"/>
  <c r="B7" i="2"/>
  <c r="B8" i="2"/>
  <c r="B9" i="2"/>
  <c r="B10" i="2"/>
  <c r="B11" i="2"/>
  <c r="B12" i="2"/>
  <c r="B13" i="2"/>
  <c r="B14" i="2"/>
  <c r="B15" i="2"/>
  <c r="B16" i="2"/>
  <c r="B17" i="2"/>
  <c r="B18" i="2"/>
  <c r="B19" i="2"/>
  <c r="B20" i="2"/>
  <c r="B21" i="2"/>
  <c r="B22" i="2"/>
  <c r="B23" i="2"/>
  <c r="B24" i="2"/>
  <c r="B25" i="2"/>
  <c r="B2" i="2"/>
  <c r="C9" i="3" l="1"/>
  <c r="D2" i="2" s="1"/>
  <c r="C2" i="2" s="1"/>
  <c r="C13" i="2"/>
  <c r="C23" i="2"/>
  <c r="C8" i="2"/>
  <c r="C20" i="2"/>
  <c r="C6" i="2"/>
  <c r="C18" i="2"/>
  <c r="C7" i="2"/>
  <c r="C12" i="2"/>
  <c r="C24" i="2"/>
  <c r="C19" i="2"/>
  <c r="C14" i="2"/>
  <c r="C17" i="2"/>
  <c r="C5" i="2"/>
  <c r="C16" i="2"/>
  <c r="C9" i="2"/>
  <c r="C10" i="2"/>
  <c r="C15" i="2"/>
  <c r="C11" i="2"/>
  <c r="C22" i="2"/>
  <c r="C21" i="2"/>
  <c r="E3" i="2"/>
  <c r="C3" i="2" s="1"/>
  <c r="D25" i="2"/>
  <c r="C25" i="2" s="1"/>
</calcChain>
</file>

<file path=xl/sharedStrings.xml><?xml version="1.0" encoding="utf-8"?>
<sst xmlns="http://schemas.openxmlformats.org/spreadsheetml/2006/main" count="176" uniqueCount="101">
  <si>
    <t>编号</t>
  </si>
  <si>
    <t>学员姓名</t>
  </si>
  <si>
    <t>操作说明：</t>
  </si>
  <si>
    <t>1.	使用此成绩纪录表时，请填写黄色栏位即可。</t>
  </si>
  <si>
    <t>2.	在「学员」工作表中，在B栏输入每位学员的姓名。系统会自动将学员姓名同步至「结果」工作表以及各项考试的成绩表单中。
3.	在各项考试的成绩表单中，输入学员在每个项目的分数（或整体分数，依考试类型而定）。当学员取得及格分数 时，「结果」工作表会自动更新。  
4.	学员必须在每个实作考试中至少取得一次及格分数，「结果」工作表的 C 栏才会显示「通过 (PASS)」。 
5.	当所有考试都已完成评分且课程结束后，请将完整的成绩纪录表上传至 Salesforce。</t>
  </si>
  <si>
    <t>学生 1</t>
  </si>
  <si>
    <t>学生 2</t>
  </si>
  <si>
    <t>学生 3</t>
  </si>
  <si>
    <t>学生 4</t>
  </si>
  <si>
    <t>学生 5</t>
  </si>
  <si>
    <t>学生 6</t>
  </si>
  <si>
    <t>学生 7</t>
  </si>
  <si>
    <t>学生 8</t>
  </si>
  <si>
    <t>学生 9</t>
  </si>
  <si>
    <t>学生 10</t>
  </si>
  <si>
    <t>学生 11</t>
  </si>
  <si>
    <t>学生 12</t>
  </si>
  <si>
    <t>学生 13</t>
  </si>
  <si>
    <t>学生 14</t>
  </si>
  <si>
    <t>学生 15</t>
  </si>
  <si>
    <t>学生 16</t>
  </si>
  <si>
    <t>学生 17</t>
  </si>
  <si>
    <t>学生 18</t>
  </si>
  <si>
    <t>学生 19</t>
  </si>
  <si>
    <t>学生 20</t>
  </si>
  <si>
    <t>学生 21</t>
  </si>
  <si>
    <t>学生 22</t>
  </si>
  <si>
    <t>学生 23</t>
  </si>
  <si>
    <t>学生 24</t>
  </si>
  <si>
    <t>结果（笔试结果待定）</t>
  </si>
  <si>
    <t>杯测技能 (1)</t>
  </si>
  <si>
    <t>杯测技能 (2)</t>
  </si>
  <si>
    <t>物理性评估  (2)</t>
  </si>
  <si>
    <t>情感性评估 (2)</t>
  </si>
  <si>
    <t>情感性评估 (1)</t>
  </si>
  <si>
    <t>基本味觉 (2)</t>
  </si>
  <si>
    <t>基本味觉 (1)</t>
  </si>
  <si>
    <t>烘焙问题 (2)</t>
  </si>
  <si>
    <t>烘焙问题 (1)</t>
  </si>
  <si>
    <t>三角杯测 (2)</t>
  </si>
  <si>
    <t>三角杯测 (1)</t>
  </si>
  <si>
    <t>描述性评估 (2)</t>
  </si>
  <si>
    <t>描述性评估 (1)</t>
  </si>
  <si>
    <t>嗅觉样品分类 (2)</t>
  </si>
  <si>
    <t>嗅觉样品分类 (1)</t>
  </si>
  <si>
    <t>杯测技能 (第一次作答)</t>
  </si>
  <si>
    <t>评估项目</t>
  </si>
  <si>
    <t>可得分数</t>
  </si>
  <si>
    <t>CS1. 学员能将干扰降到最低。</t>
  </si>
  <si>
    <t>CS2. 学员能对每杯样本稳定地进行破渣。</t>
  </si>
  <si>
    <t>CS3. 学员在接触任何杯中的咖啡液前，能确实清洁汤匙。</t>
  </si>
  <si>
    <t>CS4. 学员能避免任何可能造成杯测样本汙染的行为。</t>
  </si>
  <si>
    <t>CS5. 学员会等前一位杯测者完成样品评估并离开后，才进行自己的评估。</t>
  </si>
  <si>
    <t xml:space="preserve">总计 </t>
  </si>
  <si>
    <t>及格分数</t>
  </si>
  <si>
    <t>杯测技能 (第二次作答)</t>
  </si>
  <si>
    <t>PA1. 学员完整填写了物理性评估表。</t>
  </si>
  <si>
    <t>PA2. 学员正确判断了样本的颜色。</t>
  </si>
  <si>
    <t>PA3. 学员正确辨识了样本中的所有第一类瑕疵。</t>
  </si>
  <si>
    <t>PA4. 学员正确辨识了样本中的所有第二类瑕疵。</t>
  </si>
  <si>
    <t xml:space="preserve">PA5. 学员正确计算了样本中的生豆瑕疵总数。 </t>
  </si>
  <si>
    <t>PA6. 学员准确测量了含水率百分比。</t>
  </si>
  <si>
    <t>PA7. 学员正确标示了样品中各生豆尺寸的重量与比例。</t>
  </si>
  <si>
    <t>总计</t>
  </si>
  <si>
    <t xml:space="preserve">及格分数 </t>
  </si>
  <si>
    <t>物理性评估 (第一次作答)</t>
  </si>
  <si>
    <t>物理性评估 (第二次作答)</t>
  </si>
  <si>
    <t>嗅觉样品分类 (第一次作答)</t>
  </si>
  <si>
    <t>嗅觉样品分类 (第二次作答)</t>
  </si>
  <si>
    <t>描述性评估 (第一次作答)</t>
  </si>
  <si>
    <t>描述性评估 (第二次作答)</t>
  </si>
  <si>
    <t>三角杯测 (第一次作答)</t>
  </si>
  <si>
    <t>三角杯测 (第二次作答)</t>
  </si>
  <si>
    <t>烘焙问题 (第一次作答)</t>
  </si>
  <si>
    <t>烘焙问题 (第二次作答)</t>
  </si>
  <si>
    <t>基本味觉 (第一次作答)</t>
  </si>
  <si>
    <t>基本味觉 (第二次作答)</t>
  </si>
  <si>
    <t>情感性评估 (第一次作答)</t>
  </si>
  <si>
    <t>情感性评估 (第二次作答)</t>
  </si>
  <si>
    <t>DA1. 学员完整填写了所有描述性评估表。</t>
  </si>
  <si>
    <t>DA2. 学员撰写的笔记内容符合描述性评估。</t>
  </si>
  <si>
    <t>DA3. 学员的强度评分在多次评估中准确且保持一致。</t>
  </si>
  <si>
    <t>DA4. 学员的 CATA选择在多次评估中准确且保持一致。</t>
  </si>
  <si>
    <t>第一部分</t>
  </si>
  <si>
    <t>第二部分</t>
  </si>
  <si>
    <t>AA1. 学员完整地填写了所有情感性评估表。</t>
  </si>
  <si>
    <t>AA2. 学员撰写的笔记内容符合情感性评估。</t>
  </si>
  <si>
    <t>AA3. 学员的品质印象评分在多次评估中保持一致。</t>
  </si>
  <si>
    <t>AA4. 学员能运用多样的品质印象评分，以清楚表达其偏好。</t>
  </si>
  <si>
    <t xml:space="preserve">AA5. 学员能适当且准确地发现并记录样本「一致性」问题。 </t>
  </si>
  <si>
    <t>物理性评估 (1)</t>
  </si>
  <si>
    <t>Volunteer</t>
  </si>
  <si>
    <t>SCA ID/Email</t>
  </si>
  <si>
    <t>Instructions:</t>
  </si>
  <si>
    <t>Volunteer 1</t>
  </si>
  <si>
    <t>1. The trainer only needs to report volunteers participating in the descriptive assessment activities</t>
  </si>
  <si>
    <t>Volunteer 2</t>
  </si>
  <si>
    <t>Volunteer 3</t>
  </si>
  <si>
    <t>Volunteer 4</t>
  </si>
  <si>
    <t>2. These descriptive assessment volunteers are only needed in cases where the trainer has fewer than six learners enrolled in the course.
3. These descriptive assessment volunteers participate in the descriptive assessment activities on Days 2 and 3, and 
4. These descriptive assessment volunteers must hold a current SCA Q Grader license.</t>
  </si>
  <si>
    <t>Volunteer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</si>
</sst>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b/>
      <sz val="12"/>
      <color theme="1"/>
      <name val="Mark OT"/>
    </font>
    <font>
      <sz val="12"/>
      <color theme="1"/>
      <name val="Mark OT"/>
    </font>
    <font>
      <b/>
      <sz val="12"/>
      <color rgb="FF000000"/>
      <name val="Mark OT"/>
    </font>
    <font>
      <sz val="8"/>
      <name val="Aptos Narrow"/>
      <family val="2"/>
      <scheme val="minor"/>
    </font>
    <font>
      <sz val="12"/>
      <color theme="9" tint="-0.249977111117893"/>
      <name val="Mark OT"/>
    </font>
    <font>
      <sz val="12"/>
      <color rgb="FFC00000"/>
      <name val="Mark OT"/>
    </font>
    <font>
      <sz val="12"/>
      <color theme="9" tint="-0.499984740745262"/>
      <name val="Mark OT"/>
    </font>
    <font>
      <sz val="11.5"/>
      <color theme="1"/>
      <name val="Mark OT"/>
    </font>
  </fonts>
  <fills count="7">
    <fill>
      <patternFill patternType="none"/>
    </fill>
    <fill>
      <patternFill patternType="gray125"/>
    </fill>
    <fill>
      <patternFill patternType="solid">
        <fgColor theme="1"/>
        <bgColor indexed="64"/>
      </patternFill>
    </fill>
    <fill>
      <patternFill patternType="solid">
        <fgColor rgb="FFF7F79D"/>
        <bgColor indexed="64"/>
      </patternFill>
    </fill>
    <fill>
      <patternFill patternType="solid">
        <fgColor rgb="FFFFC7CE"/>
        <bgColor indexed="64"/>
      </patternFill>
    </fill>
    <fill>
      <patternFill patternType="solid">
        <fgColor theme="9" tint="0.59999389629810485"/>
        <bgColor indexed="64"/>
      </patternFill>
    </fill>
    <fill>
      <patternFill patternType="solid">
        <fgColor rgb="FFC6F0CE"/>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
    <xf numFmtId="0" fontId="0" fillId="0" borderId="0"/>
  </cellStyleXfs>
  <cellXfs count="64">
    <xf numFmtId="0" fontId="0" fillId="0" borderId="0" xfId="0"/>
    <xf numFmtId="0" fontId="2" fillId="0" borderId="0" xfId="0" applyFont="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6" xfId="0" applyFont="1" applyBorder="1" applyAlignment="1">
      <alignment horizontal="left" vertical="center"/>
    </xf>
    <xf numFmtId="0" fontId="2" fillId="0" borderId="8" xfId="0" applyFont="1" applyBorder="1" applyAlignment="1">
      <alignment horizontal="left" vertical="center"/>
    </xf>
    <xf numFmtId="0" fontId="2" fillId="0" borderId="8" xfId="0" applyFont="1" applyBorder="1" applyAlignment="1">
      <alignment horizontal="center" vertical="center"/>
    </xf>
    <xf numFmtId="0" fontId="2" fillId="0" borderId="5" xfId="0" applyFont="1" applyBorder="1" applyAlignment="1">
      <alignment horizontal="center" vertical="center"/>
    </xf>
    <xf numFmtId="0" fontId="2" fillId="0" borderId="5" xfId="0" quotePrefix="1" applyFont="1" applyBorder="1" applyAlignment="1">
      <alignment horizontal="center" vertical="center"/>
    </xf>
    <xf numFmtId="0" fontId="2" fillId="0" borderId="0" xfId="0" applyFont="1" applyAlignment="1">
      <alignment horizontal="left" vertical="center" wrapText="1"/>
    </xf>
    <xf numFmtId="0" fontId="2" fillId="2" borderId="0" xfId="0" applyFont="1" applyFill="1"/>
    <xf numFmtId="0" fontId="1" fillId="0" borderId="9" xfId="0" applyFont="1" applyBorder="1" applyAlignment="1">
      <alignment horizontal="left" vertical="center"/>
    </xf>
    <xf numFmtId="0" fontId="1" fillId="0" borderId="9" xfId="0" applyFont="1" applyBorder="1" applyAlignment="1">
      <alignment horizontal="center" vertical="center"/>
    </xf>
    <xf numFmtId="0" fontId="2" fillId="0" borderId="0" xfId="0" applyFont="1" applyAlignment="1">
      <alignment vertical="center" wrapText="1"/>
    </xf>
    <xf numFmtId="0" fontId="0" fillId="0" borderId="0" xfId="0" applyAlignment="1">
      <alignment wrapText="1"/>
    </xf>
    <xf numFmtId="0" fontId="2" fillId="0" borderId="0" xfId="0" applyFont="1" applyAlignment="1">
      <alignment vertical="top" wrapText="1"/>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0" xfId="0" applyFont="1" applyAlignment="1">
      <alignment wrapText="1"/>
    </xf>
    <xf numFmtId="0" fontId="2" fillId="3" borderId="8" xfId="0" applyFont="1" applyFill="1" applyBorder="1" applyAlignment="1" applyProtection="1">
      <alignment horizontal="left" vertical="center"/>
      <protection locked="0"/>
    </xf>
    <xf numFmtId="0" fontId="2" fillId="0" borderId="8" xfId="0" quotePrefix="1" applyFont="1" applyBorder="1" applyAlignment="1">
      <alignment horizontal="center" vertical="center"/>
    </xf>
    <xf numFmtId="0" fontId="2" fillId="0" borderId="8" xfId="0" applyFont="1" applyBorder="1" applyAlignment="1">
      <alignment horizontal="center" vertical="center" wrapText="1"/>
    </xf>
    <xf numFmtId="0" fontId="2" fillId="0" borderId="8" xfId="0" applyFont="1" applyBorder="1" applyAlignment="1">
      <alignment horizontal="left" vertical="center" wrapText="1"/>
    </xf>
    <xf numFmtId="0" fontId="2" fillId="0" borderId="8" xfId="0" applyFont="1" applyBorder="1" applyAlignment="1">
      <alignment vertical="center" wrapText="1"/>
    </xf>
    <xf numFmtId="0" fontId="2" fillId="0" borderId="10" xfId="0" applyFont="1" applyBorder="1" applyAlignment="1">
      <alignment horizontal="center" vertical="center" wrapText="1"/>
    </xf>
    <xf numFmtId="0" fontId="2" fillId="0" borderId="10" xfId="0" applyFont="1" applyBorder="1" applyAlignment="1">
      <alignment horizontal="center" vertical="center"/>
    </xf>
    <xf numFmtId="0" fontId="1" fillId="0" borderId="14" xfId="0" applyFont="1" applyBorder="1" applyAlignment="1">
      <alignment horizontal="center" vertical="center"/>
    </xf>
    <xf numFmtId="0" fontId="2" fillId="0" borderId="10" xfId="0" applyFont="1" applyBorder="1" applyAlignment="1">
      <alignment vertical="center"/>
    </xf>
    <xf numFmtId="0" fontId="1" fillId="0" borderId="15" xfId="0" applyFont="1" applyBorder="1" applyAlignment="1">
      <alignment vertical="center"/>
    </xf>
    <xf numFmtId="0" fontId="2" fillId="3" borderId="12" xfId="0" applyFont="1" applyFill="1" applyBorder="1" applyAlignment="1" applyProtection="1">
      <alignment horizontal="center" vertical="center"/>
      <protection locked="0"/>
    </xf>
    <xf numFmtId="0" fontId="2" fillId="3" borderId="8" xfId="0" applyFont="1" applyFill="1" applyBorder="1" applyAlignment="1" applyProtection="1">
      <alignment horizontal="center" vertical="center"/>
      <protection locked="0"/>
    </xf>
    <xf numFmtId="0" fontId="2" fillId="0" borderId="10" xfId="0" applyFont="1" applyBorder="1" applyAlignment="1">
      <alignment horizontal="left" vertical="center" wrapText="1"/>
    </xf>
    <xf numFmtId="0" fontId="1" fillId="0" borderId="16" xfId="0" applyFont="1" applyBorder="1" applyAlignment="1">
      <alignment horizontal="left" vertical="center"/>
    </xf>
    <xf numFmtId="0" fontId="1" fillId="0" borderId="14" xfId="0" applyFont="1" applyBorder="1" applyAlignment="1">
      <alignment vertical="center"/>
    </xf>
    <xf numFmtId="0" fontId="1" fillId="0" borderId="17" xfId="0" applyFont="1" applyBorder="1" applyAlignment="1">
      <alignment horizontal="center" vertical="center"/>
    </xf>
    <xf numFmtId="0" fontId="2" fillId="2" borderId="8" xfId="0" applyFont="1" applyFill="1" applyBorder="1"/>
    <xf numFmtId="0" fontId="2" fillId="2" borderId="12" xfId="0" applyFont="1" applyFill="1" applyBorder="1"/>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7" xfId="0" quotePrefix="1" applyFont="1" applyBorder="1" applyAlignment="1">
      <alignment horizontal="center" vertical="center"/>
    </xf>
    <xf numFmtId="0" fontId="1" fillId="0" borderId="18" xfId="0" applyFont="1" applyBorder="1" applyAlignment="1">
      <alignment horizontal="center" vertical="center"/>
    </xf>
    <xf numFmtId="0" fontId="5" fillId="5" borderId="10" xfId="0" applyFont="1" applyFill="1" applyBorder="1" applyAlignment="1">
      <alignment horizontal="center" vertical="center"/>
    </xf>
    <xf numFmtId="0" fontId="6" fillId="4" borderId="10" xfId="0" applyFont="1" applyFill="1" applyBorder="1" applyAlignment="1">
      <alignment horizontal="left" vertical="center"/>
    </xf>
    <xf numFmtId="0" fontId="7" fillId="6" borderId="8" xfId="0" applyFont="1" applyFill="1" applyBorder="1" applyAlignment="1">
      <alignment horizontal="center" vertical="center"/>
    </xf>
    <xf numFmtId="0" fontId="1" fillId="3" borderId="14"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protection locked="0"/>
    </xf>
    <xf numFmtId="0" fontId="1" fillId="0" borderId="0" xfId="0" applyFont="1" applyAlignment="1">
      <alignment horizontal="left" vertical="center"/>
    </xf>
    <xf numFmtId="0" fontId="2" fillId="0" borderId="0" xfId="0" applyFont="1" applyAlignment="1">
      <alignment horizontal="left" vertical="top" wrapText="1"/>
    </xf>
    <xf numFmtId="0" fontId="2" fillId="3" borderId="8" xfId="0" applyFont="1" applyFill="1" applyBorder="1" applyAlignment="1">
      <alignment horizontal="left" vertical="center" wrapText="1"/>
    </xf>
    <xf numFmtId="0" fontId="1" fillId="0" borderId="8" xfId="0" applyFont="1" applyBorder="1" applyAlignment="1">
      <alignment horizontal="left" vertical="center"/>
    </xf>
    <xf numFmtId="0" fontId="2" fillId="3" borderId="7" xfId="0" applyFont="1" applyFill="1" applyBorder="1" applyAlignment="1" applyProtection="1">
      <alignment horizontal="left" vertical="center"/>
      <protection locked="0"/>
    </xf>
    <xf numFmtId="0" fontId="2" fillId="0" borderId="11" xfId="0" applyFont="1" applyBorder="1" applyAlignment="1" applyProtection="1">
      <alignment horizontal="center" vertical="center"/>
      <protection locked="0"/>
    </xf>
    <xf numFmtId="0" fontId="8" fillId="3" borderId="19"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3" borderId="21" xfId="0" applyFont="1" applyFill="1" applyBorder="1" applyAlignment="1">
      <alignment horizontal="left" vertical="center" wrapText="1"/>
    </xf>
    <xf numFmtId="0" fontId="2" fillId="0" borderId="13" xfId="0" applyFont="1" applyBorder="1" applyAlignment="1" applyProtection="1">
      <alignment horizontal="center" vertical="center"/>
      <protection locked="0"/>
    </xf>
    <xf numFmtId="0" fontId="8" fillId="3" borderId="22" xfId="0" applyFont="1" applyFill="1" applyBorder="1" applyAlignment="1">
      <alignment horizontal="left" vertical="center" wrapText="1"/>
    </xf>
    <xf numFmtId="0" fontId="8" fillId="3" borderId="4" xfId="0" applyFont="1" applyFill="1" applyBorder="1" applyAlignment="1">
      <alignment horizontal="left" vertical="center" wrapText="1"/>
    </xf>
    <xf numFmtId="0" fontId="8" fillId="3" borderId="13" xfId="0" applyFont="1" applyFill="1" applyBorder="1" applyAlignment="1">
      <alignment horizontal="left" vertical="center" wrapText="1"/>
    </xf>
  </cellXfs>
  <cellStyles count="1">
    <cellStyle name="Normal" xfId="0" builtinId="0"/>
  </cellStyles>
  <dxfs count="53">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1"/>
      </font>
      <fill>
        <patternFill>
          <bgColor theme="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1"/>
      </font>
      <fill>
        <patternFill>
          <bgColor theme="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C6F0CE"/>
      <color rgb="FFFFC7CE"/>
      <color rgb="FFFF9CAB"/>
      <color rgb="FFF9909D"/>
      <color rgb="FFF79E8E"/>
      <color rgb="FFF7F79D"/>
      <color rgb="FFC8B7F5"/>
      <color rgb="FFBFB4F5"/>
      <color rgb="FF90C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A13C-4C2E-C742-9670-8BF7FAC1F36A}">
  <dimension ref="A1:I28"/>
  <sheetViews>
    <sheetView showGridLines="0" tabSelected="1" workbookViewId="0">
      <selection activeCell="B4" sqref="B4"/>
    </sheetView>
  </sheetViews>
  <sheetFormatPr baseColWidth="10" defaultColWidth="10.83203125" defaultRowHeight="20" customHeight="1"/>
  <cols>
    <col min="1" max="1" width="47.5" style="1" customWidth="1"/>
    <col min="2" max="2" width="48.6640625" style="1" customWidth="1"/>
    <col min="3" max="3" width="4.83203125" style="1" customWidth="1"/>
    <col min="4" max="6" width="12.83203125" style="1" customWidth="1"/>
    <col min="7" max="7" width="11.6640625" style="1" customWidth="1"/>
    <col min="8" max="8" width="12.83203125" style="1" customWidth="1"/>
    <col min="9" max="16384" width="10.83203125" style="1"/>
  </cols>
  <sheetData>
    <row r="1" spans="1:9" ht="40" customHeight="1" thickBot="1">
      <c r="A1" s="7" t="s">
        <v>91</v>
      </c>
      <c r="B1" s="7" t="s">
        <v>92</v>
      </c>
      <c r="D1" s="51" t="s">
        <v>93</v>
      </c>
      <c r="E1" s="51"/>
      <c r="F1" s="51"/>
      <c r="G1" s="51"/>
    </row>
    <row r="2" spans="1:9" ht="20" customHeight="1" thickBot="1">
      <c r="A2" s="55" t="s">
        <v>94</v>
      </c>
      <c r="B2" s="56"/>
      <c r="D2" s="57" t="s">
        <v>95</v>
      </c>
      <c r="E2" s="58"/>
      <c r="F2" s="58"/>
      <c r="G2" s="59"/>
      <c r="H2" s="19"/>
      <c r="I2" s="19"/>
    </row>
    <row r="3" spans="1:9" ht="20" customHeight="1" thickBot="1">
      <c r="A3" s="55" t="s">
        <v>96</v>
      </c>
      <c r="B3" s="60"/>
      <c r="D3" s="61"/>
      <c r="E3" s="62"/>
      <c r="F3" s="62"/>
      <c r="G3" s="63"/>
      <c r="H3" s="19"/>
      <c r="I3" s="19"/>
    </row>
    <row r="4" spans="1:9" ht="20" customHeight="1" thickBot="1">
      <c r="A4" s="55" t="s">
        <v>97</v>
      </c>
      <c r="B4" s="60"/>
      <c r="D4" s="19"/>
      <c r="E4" s="19"/>
      <c r="F4" s="19"/>
      <c r="G4" s="19"/>
      <c r="H4" s="19"/>
      <c r="I4" s="23"/>
    </row>
    <row r="5" spans="1:9" ht="20" customHeight="1" thickBot="1">
      <c r="A5" s="55" t="s">
        <v>98</v>
      </c>
      <c r="B5" s="60"/>
      <c r="D5" s="52" t="s">
        <v>99</v>
      </c>
      <c r="E5" s="52"/>
      <c r="F5" s="52"/>
      <c r="G5" s="52"/>
      <c r="H5" s="19"/>
      <c r="I5" s="23"/>
    </row>
    <row r="6" spans="1:9" ht="20" customHeight="1">
      <c r="A6" s="55" t="s">
        <v>100</v>
      </c>
      <c r="B6" s="60"/>
      <c r="D6" s="52"/>
      <c r="E6" s="52"/>
      <c r="F6" s="52"/>
      <c r="G6" s="52"/>
      <c r="H6" s="19"/>
      <c r="I6" s="19"/>
    </row>
    <row r="7" spans="1:9" ht="20" customHeight="1">
      <c r="D7" s="52"/>
      <c r="E7" s="52"/>
      <c r="F7" s="52"/>
      <c r="G7" s="52"/>
      <c r="H7" s="19"/>
      <c r="I7" s="19"/>
    </row>
    <row r="8" spans="1:9" ht="20" customHeight="1">
      <c r="D8" s="52"/>
      <c r="E8" s="52"/>
      <c r="F8" s="52"/>
      <c r="G8" s="52"/>
      <c r="H8" s="19"/>
      <c r="I8" s="19"/>
    </row>
    <row r="9" spans="1:9" ht="20" customHeight="1">
      <c r="D9" s="52"/>
      <c r="E9" s="52"/>
      <c r="F9" s="52"/>
      <c r="G9" s="52"/>
      <c r="H9" s="19"/>
      <c r="I9" s="19"/>
    </row>
    <row r="10" spans="1:9" ht="20" customHeight="1">
      <c r="D10" s="52"/>
      <c r="E10" s="52"/>
      <c r="F10" s="52"/>
      <c r="G10" s="52"/>
      <c r="H10" s="19"/>
      <c r="I10" s="19"/>
    </row>
    <row r="11" spans="1:9" ht="20" customHeight="1">
      <c r="D11" s="52"/>
      <c r="E11" s="52"/>
      <c r="F11" s="52"/>
      <c r="G11" s="52"/>
      <c r="H11" s="19"/>
      <c r="I11" s="19"/>
    </row>
    <row r="12" spans="1:9" ht="20" customHeight="1">
      <c r="D12" s="52"/>
      <c r="E12" s="52"/>
      <c r="F12" s="52"/>
      <c r="G12" s="52"/>
      <c r="H12" s="19"/>
      <c r="I12" s="19"/>
    </row>
    <row r="13" spans="1:9" ht="20" customHeight="1">
      <c r="D13" s="52"/>
      <c r="E13" s="52"/>
      <c r="F13" s="52"/>
      <c r="G13" s="52"/>
      <c r="H13" s="19"/>
      <c r="I13" s="19"/>
    </row>
    <row r="14" spans="1:9" ht="20" customHeight="1">
      <c r="D14" s="52"/>
      <c r="E14" s="52"/>
      <c r="F14" s="52"/>
      <c r="G14" s="52"/>
      <c r="H14" s="19"/>
      <c r="I14" s="19"/>
    </row>
    <row r="15" spans="1:9" ht="20" customHeight="1">
      <c r="D15" s="52"/>
      <c r="E15" s="52"/>
      <c r="F15" s="52"/>
      <c r="G15" s="52"/>
      <c r="H15" s="19"/>
      <c r="I15" s="19"/>
    </row>
    <row r="16" spans="1:9" ht="20" customHeight="1">
      <c r="D16" s="52"/>
      <c r="E16" s="52"/>
      <c r="F16" s="52"/>
      <c r="G16" s="52"/>
      <c r="H16" s="19"/>
      <c r="I16" s="19"/>
    </row>
    <row r="17" spans="4:9" ht="20" customHeight="1">
      <c r="D17" s="52"/>
      <c r="E17" s="52"/>
      <c r="F17" s="52"/>
      <c r="G17" s="52"/>
      <c r="H17" s="19"/>
      <c r="I17" s="19"/>
    </row>
    <row r="18" spans="4:9" ht="20" customHeight="1">
      <c r="D18" s="52"/>
      <c r="E18" s="52"/>
      <c r="F18" s="52"/>
      <c r="G18" s="52"/>
      <c r="H18" s="19"/>
      <c r="I18" s="19"/>
    </row>
    <row r="19" spans="4:9" ht="20" customHeight="1">
      <c r="D19" s="52"/>
      <c r="E19" s="52"/>
      <c r="F19" s="52"/>
      <c r="G19" s="52"/>
      <c r="H19" s="19"/>
      <c r="I19" s="19"/>
    </row>
    <row r="20" spans="4:9" ht="20" customHeight="1">
      <c r="D20" s="52"/>
      <c r="E20" s="52"/>
      <c r="F20" s="52"/>
      <c r="G20" s="52"/>
      <c r="H20" s="19"/>
      <c r="I20" s="19"/>
    </row>
    <row r="21" spans="4:9" ht="20" customHeight="1">
      <c r="D21" s="52"/>
      <c r="E21" s="52"/>
      <c r="F21" s="52"/>
      <c r="G21" s="52"/>
      <c r="H21" s="19"/>
      <c r="I21" s="17"/>
    </row>
    <row r="22" spans="4:9" ht="20" customHeight="1">
      <c r="D22" s="52"/>
      <c r="E22" s="52"/>
      <c r="F22" s="52"/>
      <c r="G22" s="52"/>
      <c r="H22" s="19"/>
      <c r="I22" s="17"/>
    </row>
    <row r="23" spans="4:9" ht="20" customHeight="1">
      <c r="D23" s="52"/>
      <c r="E23" s="52"/>
      <c r="F23" s="52"/>
      <c r="G23" s="52"/>
      <c r="H23" s="19"/>
      <c r="I23" s="17"/>
    </row>
    <row r="24" spans="4:9" ht="20" customHeight="1">
      <c r="D24" s="52"/>
      <c r="E24" s="52"/>
      <c r="F24" s="52"/>
      <c r="G24" s="52"/>
      <c r="H24" s="19"/>
      <c r="I24" s="17"/>
    </row>
    <row r="25" spans="4:9" ht="20" customHeight="1">
      <c r="D25" s="52"/>
      <c r="E25" s="52"/>
      <c r="F25" s="52"/>
      <c r="G25" s="52"/>
      <c r="H25" s="19"/>
    </row>
    <row r="26" spans="4:9" ht="20" customHeight="1">
      <c r="F26" s="17"/>
      <c r="G26" s="17"/>
      <c r="H26" s="17"/>
    </row>
    <row r="27" spans="4:9" ht="20" customHeight="1">
      <c r="F27" s="17"/>
      <c r="G27" s="17"/>
      <c r="H27" s="17"/>
    </row>
    <row r="28" spans="4:9" ht="20" customHeight="1">
      <c r="H28" s="17"/>
    </row>
  </sheetData>
  <sheetProtection algorithmName="SHA-512" hashValue="tzsgpGbkIujPM9BeeGaQXUbtICZNy4pUseYi4aEB9NNnLfkSuXGFSzzDYEnhgXnV4YKZgbyS2jsKuzQLbO7TjA==" saltValue="OqdUgL5AKVlor77cxoACXg==" spinCount="100000" sheet="1" objects="1" scenarios="1" selectLockedCells="1"/>
  <mergeCells count="3">
    <mergeCell ref="D1:G1"/>
    <mergeCell ref="D2:G3"/>
    <mergeCell ref="D5:G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A4AEC-D1AD-6C43-AE64-22BBC7B80B01}">
  <dimension ref="A1:I28"/>
  <sheetViews>
    <sheetView showGridLines="0" workbookViewId="0">
      <selection activeCell="B2" sqref="B2"/>
    </sheetView>
  </sheetViews>
  <sheetFormatPr baseColWidth="10" defaultColWidth="10.83203125" defaultRowHeight="20" customHeight="1"/>
  <cols>
    <col min="1" max="1" width="10.83203125" style="1"/>
    <col min="2" max="2" width="60.83203125" style="1" customWidth="1"/>
    <col min="3" max="3" width="4.83203125" style="1" customWidth="1"/>
    <col min="4" max="6" width="12.83203125" style="1" customWidth="1"/>
    <col min="7" max="7" width="8.33203125" style="1" customWidth="1"/>
    <col min="8" max="8" width="12.83203125" style="1" customWidth="1"/>
    <col min="9" max="16384" width="10.83203125" style="1"/>
  </cols>
  <sheetData>
    <row r="1" spans="1:9" ht="40" customHeight="1" thickBot="1">
      <c r="A1" s="7" t="s">
        <v>0</v>
      </c>
      <c r="B1" s="7" t="s">
        <v>1</v>
      </c>
      <c r="D1" s="51" t="s">
        <v>2</v>
      </c>
      <c r="E1" s="51"/>
      <c r="F1" s="51"/>
      <c r="G1" s="51"/>
    </row>
    <row r="2" spans="1:9" ht="20" customHeight="1">
      <c r="A2" s="20">
        <v>1</v>
      </c>
      <c r="B2" s="24" t="s">
        <v>5</v>
      </c>
      <c r="D2" s="53" t="s">
        <v>3</v>
      </c>
      <c r="E2" s="53"/>
      <c r="F2" s="53"/>
      <c r="G2" s="53"/>
      <c r="H2" s="19"/>
      <c r="I2" s="19"/>
    </row>
    <row r="3" spans="1:9" ht="20" customHeight="1">
      <c r="A3" s="21">
        <v>2</v>
      </c>
      <c r="B3" s="24" t="s">
        <v>6</v>
      </c>
      <c r="D3" s="53"/>
      <c r="E3" s="53"/>
      <c r="F3" s="53"/>
      <c r="G3" s="53"/>
      <c r="H3" s="19"/>
      <c r="I3" s="19"/>
    </row>
    <row r="4" spans="1:9" ht="20" customHeight="1">
      <c r="A4" s="21">
        <v>3</v>
      </c>
      <c r="B4" s="24" t="s">
        <v>7</v>
      </c>
      <c r="D4" s="19"/>
      <c r="E4" s="19"/>
      <c r="F4" s="19"/>
      <c r="G4" s="19"/>
      <c r="H4" s="19"/>
      <c r="I4" s="23"/>
    </row>
    <row r="5" spans="1:9" ht="20" customHeight="1">
      <c r="A5" s="21">
        <v>4</v>
      </c>
      <c r="B5" s="24" t="s">
        <v>8</v>
      </c>
      <c r="D5" s="52" t="s">
        <v>4</v>
      </c>
      <c r="E5" s="52"/>
      <c r="F5" s="52"/>
      <c r="G5" s="52"/>
      <c r="H5" s="19"/>
      <c r="I5" s="23"/>
    </row>
    <row r="6" spans="1:9" ht="20" customHeight="1">
      <c r="A6" s="21">
        <v>5</v>
      </c>
      <c r="B6" s="24" t="s">
        <v>9</v>
      </c>
      <c r="D6" s="52"/>
      <c r="E6" s="52"/>
      <c r="F6" s="52"/>
      <c r="G6" s="52"/>
      <c r="H6" s="19"/>
      <c r="I6" s="19"/>
    </row>
    <row r="7" spans="1:9" ht="20" customHeight="1">
      <c r="A7" s="21">
        <v>6</v>
      </c>
      <c r="B7" s="24" t="s">
        <v>10</v>
      </c>
      <c r="D7" s="52"/>
      <c r="E7" s="52"/>
      <c r="F7" s="52"/>
      <c r="G7" s="52"/>
      <c r="H7" s="19"/>
      <c r="I7" s="19"/>
    </row>
    <row r="8" spans="1:9" ht="20" customHeight="1">
      <c r="A8" s="21">
        <v>7</v>
      </c>
      <c r="B8" s="24" t="s">
        <v>11</v>
      </c>
      <c r="D8" s="52"/>
      <c r="E8" s="52"/>
      <c r="F8" s="52"/>
      <c r="G8" s="52"/>
      <c r="H8" s="19"/>
      <c r="I8" s="19"/>
    </row>
    <row r="9" spans="1:9" ht="20" customHeight="1">
      <c r="A9" s="21">
        <v>8</v>
      </c>
      <c r="B9" s="24" t="s">
        <v>12</v>
      </c>
      <c r="D9" s="52"/>
      <c r="E9" s="52"/>
      <c r="F9" s="52"/>
      <c r="G9" s="52"/>
      <c r="H9" s="19"/>
      <c r="I9" s="19"/>
    </row>
    <row r="10" spans="1:9" ht="20" customHeight="1">
      <c r="A10" s="21">
        <v>9</v>
      </c>
      <c r="B10" s="24" t="s">
        <v>13</v>
      </c>
      <c r="D10" s="52"/>
      <c r="E10" s="52"/>
      <c r="F10" s="52"/>
      <c r="G10" s="52"/>
      <c r="H10" s="19"/>
      <c r="I10" s="19"/>
    </row>
    <row r="11" spans="1:9" ht="20" customHeight="1">
      <c r="A11" s="21">
        <v>10</v>
      </c>
      <c r="B11" s="24" t="s">
        <v>14</v>
      </c>
      <c r="D11" s="52"/>
      <c r="E11" s="52"/>
      <c r="F11" s="52"/>
      <c r="G11" s="52"/>
      <c r="H11" s="19"/>
      <c r="I11" s="19"/>
    </row>
    <row r="12" spans="1:9" ht="20" customHeight="1">
      <c r="A12" s="21">
        <v>11</v>
      </c>
      <c r="B12" s="24" t="s">
        <v>15</v>
      </c>
      <c r="D12" s="52"/>
      <c r="E12" s="52"/>
      <c r="F12" s="52"/>
      <c r="G12" s="52"/>
      <c r="H12" s="19"/>
      <c r="I12" s="19"/>
    </row>
    <row r="13" spans="1:9" ht="20" customHeight="1">
      <c r="A13" s="21">
        <v>12</v>
      </c>
      <c r="B13" s="24" t="s">
        <v>16</v>
      </c>
      <c r="D13" s="52"/>
      <c r="E13" s="52"/>
      <c r="F13" s="52"/>
      <c r="G13" s="52"/>
      <c r="H13" s="19"/>
      <c r="I13" s="19"/>
    </row>
    <row r="14" spans="1:9" ht="20" customHeight="1">
      <c r="A14" s="21">
        <v>13</v>
      </c>
      <c r="B14" s="24" t="s">
        <v>17</v>
      </c>
      <c r="D14" s="52"/>
      <c r="E14" s="52"/>
      <c r="F14" s="52"/>
      <c r="G14" s="52"/>
      <c r="H14" s="19"/>
      <c r="I14" s="19"/>
    </row>
    <row r="15" spans="1:9" ht="20" customHeight="1">
      <c r="A15" s="21">
        <v>14</v>
      </c>
      <c r="B15" s="24" t="s">
        <v>18</v>
      </c>
      <c r="D15" s="52"/>
      <c r="E15" s="52"/>
      <c r="F15" s="52"/>
      <c r="G15" s="52"/>
      <c r="H15" s="19"/>
      <c r="I15" s="19"/>
    </row>
    <row r="16" spans="1:9" ht="20" customHeight="1">
      <c r="A16" s="21">
        <v>15</v>
      </c>
      <c r="B16" s="24" t="s">
        <v>19</v>
      </c>
      <c r="D16" s="52"/>
      <c r="E16" s="52"/>
      <c r="F16" s="52"/>
      <c r="G16" s="52"/>
      <c r="H16" s="19"/>
      <c r="I16" s="19"/>
    </row>
    <row r="17" spans="1:9" ht="20" customHeight="1">
      <c r="A17" s="21">
        <v>16</v>
      </c>
      <c r="B17" s="24" t="s">
        <v>20</v>
      </c>
      <c r="D17" s="52"/>
      <c r="E17" s="52"/>
      <c r="F17" s="52"/>
      <c r="G17" s="52"/>
      <c r="H17" s="19"/>
      <c r="I17" s="19"/>
    </row>
    <row r="18" spans="1:9" ht="20" customHeight="1">
      <c r="A18" s="21">
        <v>17</v>
      </c>
      <c r="B18" s="24" t="s">
        <v>21</v>
      </c>
      <c r="D18" s="52"/>
      <c r="E18" s="52"/>
      <c r="F18" s="52"/>
      <c r="G18" s="52"/>
      <c r="H18" s="19"/>
      <c r="I18" s="19"/>
    </row>
    <row r="19" spans="1:9" ht="20" customHeight="1">
      <c r="A19" s="21">
        <v>18</v>
      </c>
      <c r="B19" s="24" t="s">
        <v>22</v>
      </c>
      <c r="D19" s="52"/>
      <c r="E19" s="52"/>
      <c r="F19" s="52"/>
      <c r="G19" s="52"/>
      <c r="H19" s="19"/>
      <c r="I19" s="19"/>
    </row>
    <row r="20" spans="1:9" ht="20" customHeight="1">
      <c r="A20" s="21">
        <v>19</v>
      </c>
      <c r="B20" s="24" t="s">
        <v>23</v>
      </c>
      <c r="D20" s="52"/>
      <c r="E20" s="52"/>
      <c r="F20" s="52"/>
      <c r="G20" s="52"/>
      <c r="H20" s="19"/>
      <c r="I20" s="19"/>
    </row>
    <row r="21" spans="1:9" ht="20" customHeight="1">
      <c r="A21" s="21">
        <v>20</v>
      </c>
      <c r="B21" s="24" t="s">
        <v>24</v>
      </c>
      <c r="D21" s="52"/>
      <c r="E21" s="52"/>
      <c r="F21" s="52"/>
      <c r="G21" s="52"/>
      <c r="H21" s="19"/>
      <c r="I21" s="17"/>
    </row>
    <row r="22" spans="1:9" ht="20" customHeight="1">
      <c r="A22" s="21">
        <v>21</v>
      </c>
      <c r="B22" s="24" t="s">
        <v>25</v>
      </c>
      <c r="D22" s="52"/>
      <c r="E22" s="52"/>
      <c r="F22" s="52"/>
      <c r="G22" s="52"/>
      <c r="H22" s="19"/>
      <c r="I22" s="17"/>
    </row>
    <row r="23" spans="1:9" ht="20" customHeight="1">
      <c r="A23" s="21">
        <v>22</v>
      </c>
      <c r="B23" s="24" t="s">
        <v>26</v>
      </c>
      <c r="D23" s="52"/>
      <c r="E23" s="52"/>
      <c r="F23" s="52"/>
      <c r="G23" s="52"/>
      <c r="H23" s="19"/>
      <c r="I23" s="17"/>
    </row>
    <row r="24" spans="1:9" ht="20" customHeight="1">
      <c r="A24" s="22">
        <v>23</v>
      </c>
      <c r="B24" s="24" t="s">
        <v>27</v>
      </c>
      <c r="D24" s="52"/>
      <c r="E24" s="52"/>
      <c r="F24" s="52"/>
      <c r="G24" s="52"/>
      <c r="H24" s="19"/>
      <c r="I24" s="17"/>
    </row>
    <row r="25" spans="1:9" ht="20" customHeight="1">
      <c r="A25" s="22">
        <v>24</v>
      </c>
      <c r="B25" s="24" t="s">
        <v>28</v>
      </c>
      <c r="D25" s="52"/>
      <c r="E25" s="52"/>
      <c r="F25" s="52"/>
      <c r="G25" s="52"/>
      <c r="H25" s="19"/>
    </row>
    <row r="26" spans="1:9" ht="20" customHeight="1">
      <c r="F26" s="17"/>
      <c r="G26" s="17"/>
      <c r="H26" s="17"/>
    </row>
    <row r="27" spans="1:9" ht="20" customHeight="1">
      <c r="F27" s="17"/>
      <c r="G27" s="17"/>
      <c r="H27" s="17"/>
    </row>
    <row r="28" spans="1:9" ht="20" customHeight="1">
      <c r="H28" s="17"/>
    </row>
  </sheetData>
  <sheetProtection algorithmName="SHA-512" hashValue="j9X8xfIdBIfsBevcZuuFpR9Mb/0aQMLg9hBA3SZNt/2zO/YM3PtOng1r7Qz0zpjLn5cQPkZYKZfYGX05B9WpBQ==" saltValue="NXumkONhWZ1GQZO0kWD+IQ==" spinCount="100000" sheet="1" selectLockedCells="1"/>
  <mergeCells count="3">
    <mergeCell ref="D1:G1"/>
    <mergeCell ref="D5:G25"/>
    <mergeCell ref="D2:G3"/>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C944F-4908-CB4E-99D3-9A556BB341E4}">
  <dimension ref="A1:S25"/>
  <sheetViews>
    <sheetView showGridLines="0" zoomScale="125" zoomScaleNormal="125" workbookViewId="0">
      <pane xSplit="2" topLeftCell="C1" activePane="topRight" state="frozen"/>
      <selection pane="topRight" sqref="A1:XFD1048576"/>
    </sheetView>
  </sheetViews>
  <sheetFormatPr baseColWidth="10" defaultColWidth="11" defaultRowHeight="20" customHeight="1"/>
  <cols>
    <col min="2" max="2" width="60.83203125" customWidth="1"/>
    <col min="3" max="3" width="40.83203125" customWidth="1"/>
    <col min="4" max="4" width="19.83203125" customWidth="1"/>
    <col min="5" max="5" width="19.83203125" style="18" customWidth="1"/>
    <col min="6" max="12" width="20.83203125" customWidth="1"/>
    <col min="13" max="13" width="21.5" customWidth="1"/>
    <col min="14" max="19" width="20.83203125" customWidth="1"/>
  </cols>
  <sheetData>
    <row r="1" spans="1:19" ht="40" customHeight="1" thickBot="1">
      <c r="A1" s="7" t="s">
        <v>0</v>
      </c>
      <c r="B1" s="7" t="s">
        <v>1</v>
      </c>
      <c r="C1" s="7" t="s">
        <v>29</v>
      </c>
      <c r="D1" s="5" t="s">
        <v>30</v>
      </c>
      <c r="E1" s="5" t="s">
        <v>31</v>
      </c>
      <c r="F1" s="5" t="s">
        <v>90</v>
      </c>
      <c r="G1" s="5" t="s">
        <v>32</v>
      </c>
      <c r="H1" s="6" t="s">
        <v>44</v>
      </c>
      <c r="I1" s="6" t="s">
        <v>43</v>
      </c>
      <c r="J1" s="5" t="s">
        <v>42</v>
      </c>
      <c r="K1" s="5" t="s">
        <v>41</v>
      </c>
      <c r="L1" s="5" t="s">
        <v>40</v>
      </c>
      <c r="M1" s="5" t="s">
        <v>39</v>
      </c>
      <c r="N1" s="5" t="s">
        <v>38</v>
      </c>
      <c r="O1" s="5" t="s">
        <v>37</v>
      </c>
      <c r="P1" s="5" t="s">
        <v>36</v>
      </c>
      <c r="Q1" s="5" t="s">
        <v>35</v>
      </c>
      <c r="R1" s="5" t="s">
        <v>34</v>
      </c>
      <c r="S1" s="5" t="s">
        <v>33</v>
      </c>
    </row>
    <row r="2" spans="1:19" ht="20" customHeight="1" thickBot="1">
      <c r="A2" s="2">
        <v>1</v>
      </c>
      <c r="B2" s="8" t="str">
        <f>学员姓名!B2</f>
        <v>学生 1</v>
      </c>
      <c r="C2" s="47" t="str">
        <f>IF(AND(OR(D2="通过", E2="通过"),OR(F2="通过", G2="通过"),OR(H2="通过", I2="通过"),OR(J2="通过", K2="通过"),OR(L2="通过",M2="通过"),OR(N2="通过",O2="通过"),OR(P2="通过",Q2="通过"),OR(R2="通过",S2="通过")),"通过","未通过")</f>
        <v>未通过</v>
      </c>
      <c r="D2" s="48" t="str">
        <f>'杯测技能 (1)'!C9</f>
        <v>通过</v>
      </c>
      <c r="E2" s="48" t="str">
        <f>'杯测技能 (2)'!C9</f>
        <v>通过</v>
      </c>
      <c r="F2" s="42" t="str">
        <f>'物理性评估 (1)'!C11</f>
        <v>未通过／未参加</v>
      </c>
      <c r="G2" s="43" t="str">
        <f>'物理性评估 (2)'!C11</f>
        <v>未通过／未参加</v>
      </c>
      <c r="H2" s="43" t="str">
        <f>'嗅觉样品分类 (1)'!C4</f>
        <v>未通过／未参加</v>
      </c>
      <c r="I2" s="43" t="str">
        <f>'嗅觉样品分类 (2)'!C4</f>
        <v>未通过／未参加</v>
      </c>
      <c r="J2" s="43" t="str">
        <f>'描述性评估 (1)'!C8</f>
        <v>未通过／未参加</v>
      </c>
      <c r="K2" s="43" t="str">
        <f>'描述性评估 (2)'!C8</f>
        <v>未通过／未参加</v>
      </c>
      <c r="L2" s="43" t="str">
        <f>'三角杯测 (1)'!C4</f>
        <v>未通过／未参加</v>
      </c>
      <c r="M2" s="43" t="str">
        <f>'三角杯测 (2)'!C4</f>
        <v>未通过／未参加</v>
      </c>
      <c r="N2" s="44" t="str">
        <f>'烘焙问题 (1)'!C4</f>
        <v>未通过／未参加</v>
      </c>
      <c r="O2" s="43" t="str">
        <f>'烘焙问题 (2)'!C4</f>
        <v>未通过／未参加</v>
      </c>
      <c r="P2" s="43" t="str">
        <f>'基本味觉 (1)'!C6</f>
        <v>未通过／未参加</v>
      </c>
      <c r="Q2" s="43" t="str">
        <f>'基本味觉 (2)'!C6</f>
        <v>未通过／未参加</v>
      </c>
      <c r="R2" s="43" t="str">
        <f>'情感性评估 (1)'!C9</f>
        <v>未通过／未参加</v>
      </c>
      <c r="S2" s="43" t="str">
        <f>'情感性评估 (2)'!C9</f>
        <v>未通过／未参加</v>
      </c>
    </row>
    <row r="3" spans="1:19" ht="20" customHeight="1">
      <c r="A3" s="3">
        <v>2</v>
      </c>
      <c r="B3" s="9" t="str">
        <f>学员姓名!B3</f>
        <v>学生 2</v>
      </c>
      <c r="C3" s="47" t="str">
        <f t="shared" ref="C3:C25" si="0">IF(AND(OR(D3="通过", E3="通过"),OR(F3="通过", G3="通过"),OR(H3="通过", I3="通过"),OR(J3="通过", K3="通过"),OR(L3="通过",M3="通过"),OR(N3="通过",O3="通过"),OR(P3="通过",Q3="通过"),OR(R3="通过",S3="通过")),"通过","未通过")</f>
        <v>未通过</v>
      </c>
      <c r="D3" s="48" t="str">
        <f>'杯测技能 (1)'!D9</f>
        <v>通过</v>
      </c>
      <c r="E3" s="48" t="str">
        <f>'杯测技能 (2)'!D9</f>
        <v>通过</v>
      </c>
      <c r="F3" s="42" t="str">
        <f>'物理性评估 (1)'!D11</f>
        <v>未通过／未参加</v>
      </c>
      <c r="G3" s="11" t="str">
        <f>'物理性评估 (2)'!D11</f>
        <v>未通过／未参加</v>
      </c>
      <c r="H3" s="11" t="str">
        <f>'嗅觉样品分类 (1)'!D4</f>
        <v>未通过／未参加</v>
      </c>
      <c r="I3" s="11" t="str">
        <f>'嗅觉样品分类 (2)'!D4</f>
        <v>未通过／未参加</v>
      </c>
      <c r="J3" s="11" t="str">
        <f>'描述性评估 (1)'!D8</f>
        <v>未通过／未参加</v>
      </c>
      <c r="K3" s="11" t="str">
        <f>'描述性评估 (2)'!D8</f>
        <v>未通过／未参加</v>
      </c>
      <c r="L3" s="11" t="str">
        <f>'三角杯测 (1)'!D4</f>
        <v>未通过／未参加</v>
      </c>
      <c r="M3" s="11" t="str">
        <f>'三角杯测 (2)'!D4</f>
        <v>未通过／未参加</v>
      </c>
      <c r="N3" s="11" t="str">
        <f>'烘焙问题 (1)'!D4</f>
        <v>未通过／未参加</v>
      </c>
      <c r="O3" s="11" t="str">
        <f>'烘焙问题 (2)'!D4</f>
        <v>未通过／未参加</v>
      </c>
      <c r="P3" s="11" t="str">
        <f>'基本味觉 (1)'!D6</f>
        <v>未通过／未参加</v>
      </c>
      <c r="Q3" s="11" t="str">
        <f>'基本味觉 (2)'!D6</f>
        <v>未通过／未参加</v>
      </c>
      <c r="R3" s="11" t="str">
        <f>'情感性评估 (1)'!D9</f>
        <v>未通过／未参加</v>
      </c>
      <c r="S3" s="25" t="str">
        <f>'情感性评估 (2)'!D9</f>
        <v>未通过／未参加</v>
      </c>
    </row>
    <row r="4" spans="1:19" ht="20" customHeight="1">
      <c r="A4" s="3">
        <v>3</v>
      </c>
      <c r="B4" s="9" t="str">
        <f>学员姓名!B4</f>
        <v>学生 3</v>
      </c>
      <c r="C4" s="47" t="str">
        <f t="shared" si="0"/>
        <v>未通过</v>
      </c>
      <c r="D4" s="48" t="str">
        <f>'杯测技能 (1)'!E9</f>
        <v>通过</v>
      </c>
      <c r="E4" s="48" t="str">
        <f>'杯测技能 (2)'!E9</f>
        <v>通过</v>
      </c>
      <c r="F4" s="11" t="str">
        <f>'物理性评估 (1)'!D11</f>
        <v>未通过／未参加</v>
      </c>
      <c r="G4" s="11" t="str">
        <f>'物理性评估 (2)'!E11</f>
        <v>未通过／未参加</v>
      </c>
      <c r="H4" s="11" t="str">
        <f>'嗅觉样品分类 (1)'!E4</f>
        <v>未通过／未参加</v>
      </c>
      <c r="I4" s="11" t="str">
        <f>'嗅觉样品分类 (2)'!E4</f>
        <v>未通过／未参加</v>
      </c>
      <c r="J4" s="11" t="str">
        <f>'描述性评估 (1)'!E8</f>
        <v>未通过／未参加</v>
      </c>
      <c r="K4" s="11" t="str">
        <f>'描述性评估 (2)'!E8</f>
        <v>未通过／未参加</v>
      </c>
      <c r="L4" s="11" t="str">
        <f>'三角杯测 (1)'!E4</f>
        <v>未通过／未参加</v>
      </c>
      <c r="M4" s="11" t="str">
        <f>'三角杯测 (2)'!E4</f>
        <v>未通过／未参加</v>
      </c>
      <c r="N4" s="11" t="str">
        <f>'烘焙问题 (1)'!E4</f>
        <v>未通过／未参加</v>
      </c>
      <c r="O4" s="11" t="str">
        <f>'烘焙问题 (2)'!E4</f>
        <v>未通过／未参加</v>
      </c>
      <c r="P4" s="11" t="str">
        <f>'基本味觉 (1)'!E6</f>
        <v>未通过／未参加</v>
      </c>
      <c r="Q4" s="11" t="str">
        <f>'基本味觉 (2)'!E6</f>
        <v>未通过／未参加</v>
      </c>
      <c r="R4" s="11" t="str">
        <f>'情感性评估 (1)'!E9</f>
        <v>未通过／未参加</v>
      </c>
      <c r="S4" s="10" t="str">
        <f>'情感性评估 (2)'!E9</f>
        <v>未通过／未参加</v>
      </c>
    </row>
    <row r="5" spans="1:19" ht="20" customHeight="1">
      <c r="A5" s="3">
        <v>4</v>
      </c>
      <c r="B5" s="9" t="str">
        <f>学员姓名!B5</f>
        <v>学生 4</v>
      </c>
      <c r="C5" s="47" t="str">
        <f t="shared" si="0"/>
        <v>未通过</v>
      </c>
      <c r="D5" s="48" t="str">
        <f>'杯测技能 (1)'!F9</f>
        <v>通过</v>
      </c>
      <c r="E5" s="48" t="str">
        <f>'杯测技能 (2)'!F9</f>
        <v>通过</v>
      </c>
      <c r="F5" s="11" t="str">
        <f>'物理性评估 (1)'!F11</f>
        <v>未通过／未参加</v>
      </c>
      <c r="G5" s="11" t="str">
        <f>'物理性评估 (2)'!F11</f>
        <v>未通过／未参加</v>
      </c>
      <c r="H5" s="11" t="str">
        <f>'嗅觉样品分类 (1)'!F4</f>
        <v>未通过／未参加</v>
      </c>
      <c r="I5" s="11" t="str">
        <f>'嗅觉样品分类 (2)'!F4</f>
        <v>未通过／未参加</v>
      </c>
      <c r="J5" s="11" t="str">
        <f>'描述性评估 (1)'!F8</f>
        <v>未通过／未参加</v>
      </c>
      <c r="K5" s="11" t="str">
        <f>'描述性评估 (2)'!F8</f>
        <v>未通过／未参加</v>
      </c>
      <c r="L5" s="11" t="str">
        <f>'三角杯测 (1)'!F4</f>
        <v>未通过／未参加</v>
      </c>
      <c r="M5" s="11" t="str">
        <f>'三角杯测 (2)'!F4</f>
        <v>未通过／未参加</v>
      </c>
      <c r="N5" s="11" t="str">
        <f>'烘焙问题 (1)'!F4</f>
        <v>未通过／未参加</v>
      </c>
      <c r="O5" s="11" t="str">
        <f>'烘焙问题 (2)'!F4</f>
        <v>未通过／未参加</v>
      </c>
      <c r="P5" s="11" t="str">
        <f>'基本味觉 (1)'!F6</f>
        <v>未通过／未参加</v>
      </c>
      <c r="Q5" s="11" t="str">
        <f>'基本味觉 (2)'!F6</f>
        <v>未通过／未参加</v>
      </c>
      <c r="R5" s="11" t="str">
        <f>'情感性评估 (1)'!F9</f>
        <v>未通过／未参加</v>
      </c>
      <c r="S5" s="10" t="str">
        <f>'情感性评估 (2)'!F9</f>
        <v>未通过／未参加</v>
      </c>
    </row>
    <row r="6" spans="1:19" ht="20" customHeight="1">
      <c r="A6" s="3">
        <v>5</v>
      </c>
      <c r="B6" s="9" t="str">
        <f>学员姓名!B6</f>
        <v>学生 5</v>
      </c>
      <c r="C6" s="47" t="str">
        <f t="shared" si="0"/>
        <v>未通过</v>
      </c>
      <c r="D6" s="48" t="str">
        <f>'杯测技能 (1)'!G9</f>
        <v>通过</v>
      </c>
      <c r="E6" s="48" t="str">
        <f>'杯测技能 (2)'!G9</f>
        <v>通过</v>
      </c>
      <c r="F6" s="12" t="str">
        <f>'物理性评估 (1)'!G11</f>
        <v>未通过／未参加</v>
      </c>
      <c r="G6" s="11" t="str">
        <f>'物理性评估 (2)'!G11</f>
        <v>未通过／未参加</v>
      </c>
      <c r="H6" s="11" t="str">
        <f>'嗅觉样品分类 (1)'!G4</f>
        <v>未通过／未参加</v>
      </c>
      <c r="I6" s="11" t="str">
        <f>'嗅觉样品分类 (2)'!G4</f>
        <v>未通过／未参加</v>
      </c>
      <c r="J6" s="11" t="str">
        <f>'描述性评估 (1)'!G8</f>
        <v>未通过／未参加</v>
      </c>
      <c r="K6" s="11" t="str">
        <f>'描述性评估 (2)'!G8</f>
        <v>未通过／未参加</v>
      </c>
      <c r="L6" s="11" t="str">
        <f>'三角杯测 (1)'!G4</f>
        <v>未通过／未参加</v>
      </c>
      <c r="M6" s="11" t="str">
        <f>'三角杯测 (2)'!G4</f>
        <v>未通过／未参加</v>
      </c>
      <c r="N6" s="11" t="str">
        <f>'烘焙问题 (1)'!G4</f>
        <v>未通过／未参加</v>
      </c>
      <c r="O6" s="11" t="str">
        <f>'烘焙问题 (2)'!G4</f>
        <v>未通过／未参加</v>
      </c>
      <c r="P6" s="11" t="str">
        <f>'基本味觉 (1)'!G6</f>
        <v>未通过／未参加</v>
      </c>
      <c r="Q6" s="11" t="str">
        <f>'基本味觉 (2)'!G6</f>
        <v>未通过／未参加</v>
      </c>
      <c r="R6" s="11" t="str">
        <f>'情感性评估 (1)'!G9</f>
        <v>未通过／未参加</v>
      </c>
      <c r="S6" s="10" t="str">
        <f>'情感性评估 (2)'!G9</f>
        <v>未通过／未参加</v>
      </c>
    </row>
    <row r="7" spans="1:19" ht="20" customHeight="1">
      <c r="A7" s="3">
        <v>6</v>
      </c>
      <c r="B7" s="9" t="str">
        <f>学员姓名!B7</f>
        <v>学生 6</v>
      </c>
      <c r="C7" s="47" t="str">
        <f t="shared" si="0"/>
        <v>未通过</v>
      </c>
      <c r="D7" s="48" t="str">
        <f>'杯测技能 (1)'!H9</f>
        <v>通过</v>
      </c>
      <c r="E7" s="48" t="str">
        <f>'杯测技能 (2)'!H9</f>
        <v>通过</v>
      </c>
      <c r="F7" s="11" t="str">
        <f>'物理性评估 (1)'!H11</f>
        <v>未通过／未参加</v>
      </c>
      <c r="G7" s="12" t="str">
        <f>'物理性评估 (2)'!H11</f>
        <v>未通过／未参加</v>
      </c>
      <c r="H7" s="11" t="str">
        <f>'嗅觉样品分类 (1)'!H4</f>
        <v>未通过／未参加</v>
      </c>
      <c r="I7" s="11" t="str">
        <f>'嗅觉样品分类 (2)'!H4</f>
        <v>未通过／未参加</v>
      </c>
      <c r="J7" s="11" t="str">
        <f>'描述性评估 (1)'!H8</f>
        <v>未通过／未参加</v>
      </c>
      <c r="K7" s="11" t="str">
        <f>'描述性评估 (2)'!H8</f>
        <v>未通过／未参加</v>
      </c>
      <c r="L7" s="11" t="str">
        <f>'三角杯测 (1)'!H4</f>
        <v>未通过／未参加</v>
      </c>
      <c r="M7" s="11" t="str">
        <f>'三角杯测 (2)'!H4</f>
        <v>未通过／未参加</v>
      </c>
      <c r="N7" s="11" t="str">
        <f>'烘焙问题 (1)'!H4</f>
        <v>未通过／未参加</v>
      </c>
      <c r="O7" s="11" t="str">
        <f>'烘焙问题 (2)'!H4</f>
        <v>未通过／未参加</v>
      </c>
      <c r="P7" s="11" t="str">
        <f>'基本味觉 (1)'!H6</f>
        <v>未通过／未参加</v>
      </c>
      <c r="Q7" s="11" t="str">
        <f>'基本味觉 (2)'!H6</f>
        <v>未通过／未参加</v>
      </c>
      <c r="R7" s="11" t="str">
        <f>'情感性评估 (1)'!H9</f>
        <v>未通过／未参加</v>
      </c>
      <c r="S7" s="10" t="str">
        <f>'情感性评估 (2)'!H9</f>
        <v>未通过／未参加</v>
      </c>
    </row>
    <row r="8" spans="1:19" ht="20" customHeight="1">
      <c r="A8" s="3">
        <v>7</v>
      </c>
      <c r="B8" s="9" t="str">
        <f>学员姓名!B8</f>
        <v>学生 7</v>
      </c>
      <c r="C8" s="47" t="str">
        <f t="shared" si="0"/>
        <v>未通过</v>
      </c>
      <c r="D8" s="48" t="str">
        <f>'杯测技能 (1)'!I9</f>
        <v>通过</v>
      </c>
      <c r="E8" s="48" t="str">
        <f>'杯测技能 (2)'!I9</f>
        <v>通过</v>
      </c>
      <c r="F8" s="11" t="str">
        <f>'物理性评估 (1)'!I11</f>
        <v>未通过／未参加</v>
      </c>
      <c r="G8" s="11" t="str">
        <f>'物理性评估 (2)'!I11</f>
        <v>未通过／未参加</v>
      </c>
      <c r="H8" s="11" t="str">
        <f>'嗅觉样品分类 (1)'!I4</f>
        <v>未通过／未参加</v>
      </c>
      <c r="I8" s="11" t="str">
        <f>'嗅觉样品分类 (2)'!I4</f>
        <v>未通过／未参加</v>
      </c>
      <c r="J8" s="11" t="str">
        <f>'描述性评估 (1)'!I8</f>
        <v>未通过／未参加</v>
      </c>
      <c r="K8" s="11" t="str">
        <f>'描述性评估 (2)'!I8</f>
        <v>未通过／未参加</v>
      </c>
      <c r="L8" s="11" t="str">
        <f>'三角杯测 (1)'!I4</f>
        <v>未通过／未参加</v>
      </c>
      <c r="M8" s="11" t="str">
        <f>'三角杯测 (2)'!I4</f>
        <v>未通过／未参加</v>
      </c>
      <c r="N8" s="11" t="str">
        <f>'烘焙问题 (1)'!I4</f>
        <v>未通过／未参加</v>
      </c>
      <c r="O8" s="11" t="str">
        <f>'烘焙问题 (2)'!I4</f>
        <v>未通过／未参加</v>
      </c>
      <c r="P8" s="11" t="str">
        <f>'基本味觉 (1)'!I6</f>
        <v>未通过／未参加</v>
      </c>
      <c r="Q8" s="11" t="str">
        <f>'基本味觉 (2)'!I6</f>
        <v>未通过／未参加</v>
      </c>
      <c r="R8" s="11" t="str">
        <f>'情感性评估 (1)'!I9</f>
        <v>未通过／未参加</v>
      </c>
      <c r="S8" s="10" t="str">
        <f>'情感性评估 (2)'!I9</f>
        <v>未通过／未参加</v>
      </c>
    </row>
    <row r="9" spans="1:19" ht="20" customHeight="1">
      <c r="A9" s="3">
        <v>8</v>
      </c>
      <c r="B9" s="9" t="str">
        <f>学员姓名!B9</f>
        <v>学生 8</v>
      </c>
      <c r="C9" s="47" t="str">
        <f t="shared" si="0"/>
        <v>未通过</v>
      </c>
      <c r="D9" s="48" t="str">
        <f>'杯测技能 (1)'!J9</f>
        <v>通过</v>
      </c>
      <c r="E9" s="48" t="str">
        <f>'杯测技能 (2)'!J9</f>
        <v>通过</v>
      </c>
      <c r="F9" s="11" t="str">
        <f>'物理性评估 (1)'!J11</f>
        <v>未通过／未参加</v>
      </c>
      <c r="G9" s="11" t="str">
        <f>'物理性评估 (2)'!J11</f>
        <v>未通过／未参加</v>
      </c>
      <c r="H9" s="11" t="str">
        <f>'嗅觉样品分类 (1)'!J4</f>
        <v>未通过／未参加</v>
      </c>
      <c r="I9" s="11" t="str">
        <f>'嗅觉样品分类 (2)'!J4</f>
        <v>未通过／未参加</v>
      </c>
      <c r="J9" s="11" t="str">
        <f>'描述性评估 (1)'!J8</f>
        <v>未通过／未参加</v>
      </c>
      <c r="K9" s="11" t="str">
        <f>'描述性评估 (2)'!J8</f>
        <v>未通过／未参加</v>
      </c>
      <c r="L9" s="11" t="str">
        <f>'三角杯测 (1)'!J4</f>
        <v>未通过／未参加</v>
      </c>
      <c r="M9" s="11" t="str">
        <f>'三角杯测 (2)'!J4</f>
        <v>未通过／未参加</v>
      </c>
      <c r="N9" s="11" t="str">
        <f>'烘焙问题 (1)'!J4</f>
        <v>未通过／未参加</v>
      </c>
      <c r="O9" s="11" t="str">
        <f>'烘焙问题 (2)'!J4</f>
        <v>未通过／未参加</v>
      </c>
      <c r="P9" s="11" t="str">
        <f>'基本味觉 (1)'!J6</f>
        <v>未通过／未参加</v>
      </c>
      <c r="Q9" s="11" t="str">
        <f>'基本味觉 (2)'!J6</f>
        <v>未通过／未参加</v>
      </c>
      <c r="R9" s="11" t="str">
        <f>'情感性评估 (1)'!J9</f>
        <v>未通过／未参加</v>
      </c>
      <c r="S9" s="10" t="str">
        <f>'情感性评估 (2)'!J9</f>
        <v>未通过／未参加</v>
      </c>
    </row>
    <row r="10" spans="1:19" ht="20" customHeight="1">
      <c r="A10" s="3">
        <v>9</v>
      </c>
      <c r="B10" s="9" t="str">
        <f>学员姓名!B10</f>
        <v>学生 9</v>
      </c>
      <c r="C10" s="47" t="str">
        <f t="shared" si="0"/>
        <v>未通过</v>
      </c>
      <c r="D10" s="48" t="str">
        <f>'杯测技能 (1)'!K9</f>
        <v>通过</v>
      </c>
      <c r="E10" s="48" t="str">
        <f>'杯测技能 (2)'!K9</f>
        <v>通过</v>
      </c>
      <c r="F10" s="11" t="str">
        <f>'物理性评估 (1)'!K11</f>
        <v>未通过／未参加</v>
      </c>
      <c r="G10" s="11" t="str">
        <f>'物理性评估 (2)'!K11</f>
        <v>未通过／未参加</v>
      </c>
      <c r="H10" s="11" t="str">
        <f>'嗅觉样品分类 (1)'!K4</f>
        <v>未通过／未参加</v>
      </c>
      <c r="I10" s="11" t="str">
        <f>'嗅觉样品分类 (2)'!K4</f>
        <v>未通过／未参加</v>
      </c>
      <c r="J10" s="11" t="str">
        <f>'描述性评估 (1)'!K8</f>
        <v>未通过／未参加</v>
      </c>
      <c r="K10" s="11" t="str">
        <f>'描述性评估 (2)'!K8</f>
        <v>未通过／未参加</v>
      </c>
      <c r="L10" s="11" t="str">
        <f>'三角杯测 (1)'!K4</f>
        <v>未通过／未参加</v>
      </c>
      <c r="M10" s="11" t="str">
        <f>'三角杯测 (2)'!K4</f>
        <v>未通过／未参加</v>
      </c>
      <c r="N10" s="11" t="str">
        <f>'烘焙问题 (1)'!K4</f>
        <v>未通过／未参加</v>
      </c>
      <c r="O10" s="11" t="str">
        <f>'烘焙问题 (2)'!K4</f>
        <v>未通过／未参加</v>
      </c>
      <c r="P10" s="11" t="str">
        <f>'基本味觉 (1)'!K6</f>
        <v>未通过／未参加</v>
      </c>
      <c r="Q10" s="11" t="str">
        <f>'基本味觉 (2)'!K6</f>
        <v>未通过／未参加</v>
      </c>
      <c r="R10" s="11" t="str">
        <f>'情感性评估 (1)'!K9</f>
        <v>未通过／未参加</v>
      </c>
      <c r="S10" s="10" t="str">
        <f>'情感性评估 (2)'!K9</f>
        <v>未通过／未参加</v>
      </c>
    </row>
    <row r="11" spans="1:19" ht="20" customHeight="1">
      <c r="A11" s="3">
        <v>10</v>
      </c>
      <c r="B11" s="9" t="str">
        <f>学员姓名!B11</f>
        <v>学生 10</v>
      </c>
      <c r="C11" s="47" t="str">
        <f t="shared" si="0"/>
        <v>未通过</v>
      </c>
      <c r="D11" s="48" t="str">
        <f>'杯测技能 (1)'!L9</f>
        <v>通过</v>
      </c>
      <c r="E11" s="48" t="str">
        <f>'杯测技能 (2)'!L9</f>
        <v>通过</v>
      </c>
      <c r="F11" s="11" t="str">
        <f>'物理性评估 (1)'!L11</f>
        <v>未通过／未参加</v>
      </c>
      <c r="G11" s="11" t="str">
        <f>'物理性评估 (2)'!L11</f>
        <v>未通过／未参加</v>
      </c>
      <c r="H11" s="12" t="str">
        <f>'嗅觉样品分类 (1)'!L4</f>
        <v>未通过／未参加</v>
      </c>
      <c r="I11" s="12" t="str">
        <f>'嗅觉样品分类 (2)'!L4</f>
        <v>未通过／未参加</v>
      </c>
      <c r="J11" s="11" t="str">
        <f>'描述性评估 (1)'!L8</f>
        <v>未通过／未参加</v>
      </c>
      <c r="K11" s="11" t="str">
        <f>'描述性评估 (2)'!L8</f>
        <v>未通过／未参加</v>
      </c>
      <c r="L11" s="11" t="str">
        <f>'三角杯测 (1)'!L4</f>
        <v>未通过／未参加</v>
      </c>
      <c r="M11" s="11" t="str">
        <f>'三角杯测 (2)'!L4</f>
        <v>未通过／未参加</v>
      </c>
      <c r="N11" s="11" t="str">
        <f>'烘焙问题 (1)'!L4</f>
        <v>未通过／未参加</v>
      </c>
      <c r="O11" s="11" t="str">
        <f>'烘焙问题 (2)'!L4</f>
        <v>未通过／未参加</v>
      </c>
      <c r="P11" s="11" t="str">
        <f>'基本味觉 (1)'!L6</f>
        <v>未通过／未参加</v>
      </c>
      <c r="Q11" s="11" t="str">
        <f>'基本味觉 (2)'!L6</f>
        <v>未通过／未参加</v>
      </c>
      <c r="R11" s="11" t="str">
        <f>'情感性评估 (1)'!L9</f>
        <v>未通过／未参加</v>
      </c>
      <c r="S11" s="10" t="str">
        <f>'情感性评估 (2)'!L9</f>
        <v>未通过／未参加</v>
      </c>
    </row>
    <row r="12" spans="1:19" ht="20" customHeight="1">
      <c r="A12" s="3">
        <v>11</v>
      </c>
      <c r="B12" s="9" t="str">
        <f>学员姓名!B12</f>
        <v>学生 11</v>
      </c>
      <c r="C12" s="47" t="str">
        <f t="shared" si="0"/>
        <v>未通过</v>
      </c>
      <c r="D12" s="48" t="str">
        <f>'杯测技能 (1)'!M9</f>
        <v>通过</v>
      </c>
      <c r="E12" s="48" t="str">
        <f>'杯测技能 (2)'!M9</f>
        <v>通过</v>
      </c>
      <c r="F12" s="11" t="str">
        <f>'物理性评估 (1)'!M11</f>
        <v>未通过／未参加</v>
      </c>
      <c r="G12" s="12" t="str">
        <f>'物理性评估 (2)'!M11</f>
        <v>未通过／未参加</v>
      </c>
      <c r="H12" s="11" t="str">
        <f>'嗅觉样品分类 (1)'!M4</f>
        <v>未通过／未参加</v>
      </c>
      <c r="I12" s="11" t="str">
        <f>'嗅觉样品分类 (2)'!M4</f>
        <v>未通过／未参加</v>
      </c>
      <c r="J12" s="11" t="str">
        <f>'描述性评估 (1)'!M8</f>
        <v>未通过／未参加</v>
      </c>
      <c r="K12" s="11" t="str">
        <f>'描述性评估 (2)'!M8</f>
        <v>未通过／未参加</v>
      </c>
      <c r="L12" s="11" t="str">
        <f>'三角杯测 (1)'!M4</f>
        <v>未通过／未参加</v>
      </c>
      <c r="M12" s="11" t="str">
        <f>'三角杯测 (2)'!M4</f>
        <v>未通过／未参加</v>
      </c>
      <c r="N12" s="11" t="str">
        <f>'烘焙问题 (1)'!M4</f>
        <v>未通过／未参加</v>
      </c>
      <c r="O12" s="11" t="str">
        <f>'烘焙问题 (2)'!M4</f>
        <v>未通过／未参加</v>
      </c>
      <c r="P12" s="11" t="str">
        <f>'基本味觉 (1)'!M6</f>
        <v>未通过／未参加</v>
      </c>
      <c r="Q12" s="11" t="str">
        <f>'基本味觉 (2)'!M6</f>
        <v>未通过／未参加</v>
      </c>
      <c r="R12" s="11" t="str">
        <f>'情感性评估 (1)'!M9</f>
        <v>未通过／未参加</v>
      </c>
      <c r="S12" s="10" t="str">
        <f>'情感性评估 (2)'!M9</f>
        <v>未通过／未参加</v>
      </c>
    </row>
    <row r="13" spans="1:19" ht="20" customHeight="1">
      <c r="A13" s="3">
        <v>12</v>
      </c>
      <c r="B13" s="9" t="str">
        <f>学员姓名!B13</f>
        <v>学生 12</v>
      </c>
      <c r="C13" s="47" t="str">
        <f t="shared" si="0"/>
        <v>未通过</v>
      </c>
      <c r="D13" s="48" t="str">
        <f>'杯测技能 (1)'!N9</f>
        <v>通过</v>
      </c>
      <c r="E13" s="48" t="str">
        <f>'杯测技能 (2)'!N9</f>
        <v>通过</v>
      </c>
      <c r="F13" s="11" t="str">
        <f>'物理性评估 (1)'!N11</f>
        <v>未通过／未参加</v>
      </c>
      <c r="G13" s="11" t="str">
        <f>'物理性评估 (2)'!N11</f>
        <v>未通过／未参加</v>
      </c>
      <c r="H13" s="11" t="str">
        <f>'嗅觉样品分类 (1)'!N4</f>
        <v>未通过／未参加</v>
      </c>
      <c r="I13" s="11" t="str">
        <f>'嗅觉样品分类 (2)'!N4</f>
        <v>未通过／未参加</v>
      </c>
      <c r="J13" s="11" t="str">
        <f>'描述性评估 (1)'!N8</f>
        <v>未通过／未参加</v>
      </c>
      <c r="K13" s="11" t="str">
        <f>'描述性评估 (2)'!N8</f>
        <v>未通过／未参加</v>
      </c>
      <c r="L13" s="11" t="str">
        <f>'三角杯测 (1)'!N4</f>
        <v>未通过／未参加</v>
      </c>
      <c r="M13" s="11" t="str">
        <f>'三角杯测 (2)'!N4</f>
        <v>未通过／未参加</v>
      </c>
      <c r="N13" s="11" t="str">
        <f>'烘焙问题 (1)'!N4</f>
        <v>未通过／未参加</v>
      </c>
      <c r="O13" s="11" t="str">
        <f>'烘焙问题 (2)'!N4</f>
        <v>未通过／未参加</v>
      </c>
      <c r="P13" s="11" t="str">
        <f>'基本味觉 (1)'!N6</f>
        <v>未通过／未参加</v>
      </c>
      <c r="Q13" s="11" t="str">
        <f>'基本味觉 (2)'!N6</f>
        <v>未通过／未参加</v>
      </c>
      <c r="R13" s="11" t="str">
        <f>'情感性评估 (1)'!N9</f>
        <v>未通过／未参加</v>
      </c>
      <c r="S13" s="10" t="str">
        <f>'情感性评估 (2)'!N9</f>
        <v>未通过／未参加</v>
      </c>
    </row>
    <row r="14" spans="1:19" ht="20" customHeight="1">
      <c r="A14" s="3">
        <v>13</v>
      </c>
      <c r="B14" s="9" t="str">
        <f>学员姓名!B14</f>
        <v>学生 13</v>
      </c>
      <c r="C14" s="47" t="str">
        <f t="shared" si="0"/>
        <v>未通过</v>
      </c>
      <c r="D14" s="48" t="str">
        <f>'杯测技能 (1)'!O9</f>
        <v>通过</v>
      </c>
      <c r="E14" s="48" t="str">
        <f>'杯测技能 (2)'!O9</f>
        <v>通过</v>
      </c>
      <c r="F14" s="11" t="str">
        <f>'物理性评估 (1)'!O11</f>
        <v>未通过／未参加</v>
      </c>
      <c r="G14" s="11" t="str">
        <f>'物理性评估 (2)'!O11</f>
        <v>未通过／未参加</v>
      </c>
      <c r="H14" s="11" t="str">
        <f>'嗅觉样品分类 (1)'!O4</f>
        <v>未通过／未参加</v>
      </c>
      <c r="I14" s="11" t="str">
        <f>'嗅觉样品分类 (2)'!O4</f>
        <v>未通过／未参加</v>
      </c>
      <c r="J14" s="11" t="str">
        <f>'描述性评估 (1)'!O8</f>
        <v>未通过／未参加</v>
      </c>
      <c r="K14" s="11" t="str">
        <f>'描述性评估 (2)'!O8</f>
        <v>未通过／未参加</v>
      </c>
      <c r="L14" s="11" t="str">
        <f>'三角杯测 (1)'!O4</f>
        <v>未通过／未参加</v>
      </c>
      <c r="M14" s="11" t="str">
        <f>'三角杯测 (2)'!O4</f>
        <v>未通过／未参加</v>
      </c>
      <c r="N14" s="11" t="str">
        <f>'烘焙问题 (1)'!O4</f>
        <v>未通过／未参加</v>
      </c>
      <c r="O14" s="11" t="str">
        <f>'烘焙问题 (2)'!O4</f>
        <v>未通过／未参加</v>
      </c>
      <c r="P14" s="11" t="str">
        <f>'基本味觉 (1)'!O6</f>
        <v>未通过／未参加</v>
      </c>
      <c r="Q14" s="11" t="str">
        <f>'基本味觉 (2)'!O6</f>
        <v>未通过／未参加</v>
      </c>
      <c r="R14" s="11" t="str">
        <f>'情感性评估 (1)'!O9</f>
        <v>未通过／未参加</v>
      </c>
      <c r="S14" s="10" t="str">
        <f>'情感性评估 (2)'!O9</f>
        <v>未通过／未参加</v>
      </c>
    </row>
    <row r="15" spans="1:19" ht="20" customHeight="1">
      <c r="A15" s="3">
        <v>14</v>
      </c>
      <c r="B15" s="9" t="str">
        <f>学员姓名!B15</f>
        <v>学生 14</v>
      </c>
      <c r="C15" s="47" t="str">
        <f t="shared" si="0"/>
        <v>未通过</v>
      </c>
      <c r="D15" s="48" t="str">
        <f>'杯测技能 (1)'!P9</f>
        <v>通过</v>
      </c>
      <c r="E15" s="48" t="str">
        <f>'杯测技能 (2)'!P9</f>
        <v>通过</v>
      </c>
      <c r="F15" s="11" t="str">
        <f>'物理性评估 (1)'!P11</f>
        <v>未通过／未参加</v>
      </c>
      <c r="G15" s="11" t="str">
        <f>'物理性评估 (2)'!P11</f>
        <v>未通过／未参加</v>
      </c>
      <c r="H15" s="11" t="str">
        <f>'嗅觉样品分类 (1)'!P4</f>
        <v>未通过／未参加</v>
      </c>
      <c r="I15" s="11" t="str">
        <f>'嗅觉样品分类 (2)'!P4</f>
        <v>未通过／未参加</v>
      </c>
      <c r="J15" s="11" t="str">
        <f>'描述性评估 (1)'!P8</f>
        <v>未通过／未参加</v>
      </c>
      <c r="K15" s="11" t="str">
        <f>'描述性评估 (2)'!P8</f>
        <v>未通过／未参加</v>
      </c>
      <c r="L15" s="11" t="str">
        <f>'三角杯测 (1)'!P4</f>
        <v>未通过／未参加</v>
      </c>
      <c r="M15" s="11" t="str">
        <f>'三角杯测 (2)'!P4</f>
        <v>未通过／未参加</v>
      </c>
      <c r="N15" s="11" t="str">
        <f>'烘焙问题 (1)'!P4</f>
        <v>未通过／未参加</v>
      </c>
      <c r="O15" s="11" t="str">
        <f>'烘焙问题 (2)'!P4</f>
        <v>未通过／未参加</v>
      </c>
      <c r="P15" s="11" t="str">
        <f>'基本味觉 (1)'!P6</f>
        <v>未通过／未参加</v>
      </c>
      <c r="Q15" s="11" t="str">
        <f>'基本味觉 (2)'!P6</f>
        <v>未通过／未参加</v>
      </c>
      <c r="R15" s="11" t="str">
        <f>'情感性评估 (1)'!P9</f>
        <v>未通过／未参加</v>
      </c>
      <c r="S15" s="10" t="str">
        <f>'情感性评估 (2)'!P9</f>
        <v>未通过／未参加</v>
      </c>
    </row>
    <row r="16" spans="1:19" ht="20" customHeight="1">
      <c r="A16" s="3">
        <v>15</v>
      </c>
      <c r="B16" s="9" t="str">
        <f>学员姓名!B16</f>
        <v>学生 15</v>
      </c>
      <c r="C16" s="47" t="str">
        <f t="shared" si="0"/>
        <v>未通过</v>
      </c>
      <c r="D16" s="48" t="str">
        <f>'杯测技能 (1)'!Q9</f>
        <v>通过</v>
      </c>
      <c r="E16" s="48" t="str">
        <f>'杯测技能 (2)'!Q9</f>
        <v>通过</v>
      </c>
      <c r="F16" s="11" t="str">
        <f>'物理性评估 (1)'!Q11</f>
        <v>未通过／未参加</v>
      </c>
      <c r="G16" s="11" t="str">
        <f>'物理性评估 (2)'!Q11</f>
        <v>未通过／未参加</v>
      </c>
      <c r="H16" s="11" t="str">
        <f>'嗅觉样品分类 (1)'!Q4</f>
        <v>未通过／未参加</v>
      </c>
      <c r="I16" s="11" t="str">
        <f>'嗅觉样品分类 (2)'!Q4</f>
        <v>未通过／未参加</v>
      </c>
      <c r="J16" s="11" t="str">
        <f>'描述性评估 (1)'!Q8</f>
        <v>未通过／未参加</v>
      </c>
      <c r="K16" s="11" t="str">
        <f>'描述性评估 (2)'!Q8</f>
        <v>未通过／未参加</v>
      </c>
      <c r="L16" s="11" t="str">
        <f>'三角杯测 (1)'!Q4</f>
        <v>未通过／未参加</v>
      </c>
      <c r="M16" s="11" t="str">
        <f>'三角杯测 (2)'!Q4</f>
        <v>未通过／未参加</v>
      </c>
      <c r="N16" s="11" t="str">
        <f>'烘焙问题 (1)'!Q4</f>
        <v>未通过／未参加</v>
      </c>
      <c r="O16" s="11" t="str">
        <f>'烘焙问题 (2)'!Q4</f>
        <v>未通过／未参加</v>
      </c>
      <c r="P16" s="11" t="str">
        <f>'基本味觉 (1)'!Q6</f>
        <v>未通过／未参加</v>
      </c>
      <c r="Q16" s="11" t="str">
        <f>'基本味觉 (2)'!Q6</f>
        <v>未通过／未参加</v>
      </c>
      <c r="R16" s="11" t="str">
        <f>'情感性评估 (1)'!Q9</f>
        <v>未通过／未参加</v>
      </c>
      <c r="S16" s="10" t="str">
        <f>'情感性评估 (2)'!Q9</f>
        <v>未通过／未参加</v>
      </c>
    </row>
    <row r="17" spans="1:19" ht="20" customHeight="1">
      <c r="A17" s="3">
        <v>16</v>
      </c>
      <c r="B17" s="9" t="str">
        <f>学员姓名!B17</f>
        <v>学生 16</v>
      </c>
      <c r="C17" s="47" t="str">
        <f t="shared" si="0"/>
        <v>未通过</v>
      </c>
      <c r="D17" s="48" t="str">
        <f>'杯测技能 (1)'!R9</f>
        <v>通过</v>
      </c>
      <c r="E17" s="48" t="str">
        <f>'杯测技能 (2)'!R9</f>
        <v>通过</v>
      </c>
      <c r="F17" s="11" t="str">
        <f>'物理性评估 (1)'!R11</f>
        <v>未通过／未参加</v>
      </c>
      <c r="G17" s="11" t="str">
        <f>'物理性评估 (2)'!R11</f>
        <v>未通过／未参加</v>
      </c>
      <c r="H17" s="11" t="str">
        <f>'嗅觉样品分类 (1)'!R4</f>
        <v>未通过／未参加</v>
      </c>
      <c r="I17" s="11" t="str">
        <f>'嗅觉样品分类 (2)'!R4</f>
        <v>未通过／未参加</v>
      </c>
      <c r="J17" s="11" t="str">
        <f>'描述性评估 (1)'!R8</f>
        <v>未通过／未参加</v>
      </c>
      <c r="K17" s="11" t="str">
        <f>'描述性评估 (2)'!R8</f>
        <v>未通过／未参加</v>
      </c>
      <c r="L17" s="11" t="str">
        <f>'三角杯测 (1)'!R4</f>
        <v>未通过／未参加</v>
      </c>
      <c r="M17" s="11" t="str">
        <f>'三角杯测 (2)'!R4</f>
        <v>未通过／未参加</v>
      </c>
      <c r="N17" s="11" t="str">
        <f>'烘焙问题 (1)'!R4</f>
        <v>未通过／未参加</v>
      </c>
      <c r="O17" s="11" t="str">
        <f>'烘焙问题 (2)'!R4</f>
        <v>未通过／未参加</v>
      </c>
      <c r="P17" s="11" t="str">
        <f>'基本味觉 (1)'!R6</f>
        <v>未通过／未参加</v>
      </c>
      <c r="Q17" s="11" t="str">
        <f>'基本味觉 (2)'!R6</f>
        <v>未通过／未参加</v>
      </c>
      <c r="R17" s="11" t="str">
        <f>'情感性评估 (1)'!R9</f>
        <v>未通过／未参加</v>
      </c>
      <c r="S17" s="10" t="str">
        <f>'情感性评估 (2)'!R9</f>
        <v>未通过／未参加</v>
      </c>
    </row>
    <row r="18" spans="1:19" ht="20" customHeight="1">
      <c r="A18" s="3">
        <v>17</v>
      </c>
      <c r="B18" s="9" t="str">
        <f>学员姓名!B18</f>
        <v>学生 17</v>
      </c>
      <c r="C18" s="47" t="str">
        <f t="shared" si="0"/>
        <v>未通过</v>
      </c>
      <c r="D18" s="48" t="str">
        <f>'杯测技能 (1)'!S9</f>
        <v>通过</v>
      </c>
      <c r="E18" s="48" t="str">
        <f>'杯测技能 (2)'!S9</f>
        <v>通过</v>
      </c>
      <c r="F18" s="11" t="str">
        <f>'物理性评估 (1)'!S11</f>
        <v>未通过／未参加</v>
      </c>
      <c r="G18" s="11" t="str">
        <f>'物理性评估 (2)'!S11</f>
        <v>未通过／未参加</v>
      </c>
      <c r="H18" s="11" t="str">
        <f>'嗅觉样品分类 (1)'!S4</f>
        <v>未通过／未参加</v>
      </c>
      <c r="I18" s="11" t="str">
        <f>'嗅觉样品分类 (2)'!S4</f>
        <v>未通过／未参加</v>
      </c>
      <c r="J18" s="11" t="str">
        <f>'描述性评估 (1)'!S8</f>
        <v>未通过／未参加</v>
      </c>
      <c r="K18" s="11" t="str">
        <f>'描述性评估 (2)'!S8</f>
        <v>未通过／未参加</v>
      </c>
      <c r="L18" s="11" t="str">
        <f>'三角杯测 (1)'!S4</f>
        <v>未通过／未参加</v>
      </c>
      <c r="M18" s="11" t="str">
        <f>'三角杯测 (2)'!S4</f>
        <v>未通过／未参加</v>
      </c>
      <c r="N18" s="11" t="str">
        <f>'烘焙问题 (1)'!S4</f>
        <v>未通过／未参加</v>
      </c>
      <c r="O18" s="11" t="str">
        <f>'烘焙问题 (2)'!S4</f>
        <v>未通过／未参加</v>
      </c>
      <c r="P18" s="11" t="str">
        <f>'基本味觉 (1)'!S6</f>
        <v>未通过／未参加</v>
      </c>
      <c r="Q18" s="11" t="str">
        <f>'基本味觉 (2)'!S6</f>
        <v>未通过／未参加</v>
      </c>
      <c r="R18" s="11" t="str">
        <f>'情感性评估 (1)'!S9</f>
        <v>未通过／未参加</v>
      </c>
      <c r="S18" s="10" t="str">
        <f>'情感性评估 (2)'!S9</f>
        <v>未通过／未参加</v>
      </c>
    </row>
    <row r="19" spans="1:19" ht="20" customHeight="1">
      <c r="A19" s="3">
        <v>18</v>
      </c>
      <c r="B19" s="9" t="str">
        <f>学员姓名!B19</f>
        <v>学生 18</v>
      </c>
      <c r="C19" s="47" t="str">
        <f t="shared" si="0"/>
        <v>未通过</v>
      </c>
      <c r="D19" s="48" t="str">
        <f>'杯测技能 (1)'!T9</f>
        <v>通过</v>
      </c>
      <c r="E19" s="48" t="str">
        <f>'杯测技能 (2)'!T9</f>
        <v>通过</v>
      </c>
      <c r="F19" s="11" t="str">
        <f>'物理性评估 (1)'!T11</f>
        <v>未通过／未参加</v>
      </c>
      <c r="G19" s="11" t="str">
        <f>'物理性评估 (2)'!T11</f>
        <v>未通过／未参加</v>
      </c>
      <c r="H19" s="11" t="str">
        <f>'嗅觉样品分类 (1)'!T4</f>
        <v>未通过／未参加</v>
      </c>
      <c r="I19" s="11" t="str">
        <f>'嗅觉样品分类 (2)'!T4</f>
        <v>未通过／未参加</v>
      </c>
      <c r="J19" s="11" t="str">
        <f>'描述性评估 (1)'!T8</f>
        <v>未通过／未参加</v>
      </c>
      <c r="K19" s="11" t="str">
        <f>'描述性评估 (2)'!T8</f>
        <v>未通过／未参加</v>
      </c>
      <c r="L19" s="11" t="str">
        <f>'三角杯测 (1)'!T4</f>
        <v>未通过／未参加</v>
      </c>
      <c r="M19" s="11" t="str">
        <f>'三角杯测 (2)'!T4</f>
        <v>未通过／未参加</v>
      </c>
      <c r="N19" s="11" t="str">
        <f>'烘焙问题 (1)'!T4</f>
        <v>未通过／未参加</v>
      </c>
      <c r="O19" s="11" t="str">
        <f>'烘焙问题 (2)'!T4</f>
        <v>未通过／未参加</v>
      </c>
      <c r="P19" s="11" t="str">
        <f>'基本味觉 (1)'!T6</f>
        <v>未通过／未参加</v>
      </c>
      <c r="Q19" s="11" t="str">
        <f>'基本味觉 (2)'!T6</f>
        <v>未通过／未参加</v>
      </c>
      <c r="R19" s="11" t="str">
        <f>'情感性评估 (1)'!T9</f>
        <v>未通过／未参加</v>
      </c>
      <c r="S19" s="10" t="str">
        <f>'情感性评估 (2)'!T9</f>
        <v>未通过／未参加</v>
      </c>
    </row>
    <row r="20" spans="1:19" ht="20" customHeight="1">
      <c r="A20" s="3">
        <v>19</v>
      </c>
      <c r="B20" s="9" t="str">
        <f>学员姓名!B20</f>
        <v>学生 19</v>
      </c>
      <c r="C20" s="47" t="str">
        <f t="shared" si="0"/>
        <v>未通过</v>
      </c>
      <c r="D20" s="48" t="str">
        <f>'杯测技能 (1)'!U9</f>
        <v>通过</v>
      </c>
      <c r="E20" s="48" t="str">
        <f>'杯测技能 (2)'!U9</f>
        <v>通过</v>
      </c>
      <c r="F20" s="11" t="str">
        <f>'物理性评估 (1)'!U11</f>
        <v>未通过／未参加</v>
      </c>
      <c r="G20" s="11" t="str">
        <f>'物理性评估 (2)'!U11</f>
        <v>未通过／未参加</v>
      </c>
      <c r="H20" s="11" t="str">
        <f>'嗅觉样品分类 (1)'!U4</f>
        <v>未通过／未参加</v>
      </c>
      <c r="I20" s="11" t="str">
        <f>'嗅觉样品分类 (2)'!U4</f>
        <v>未通过／未参加</v>
      </c>
      <c r="J20" s="11" t="str">
        <f>'描述性评估 (1)'!U8</f>
        <v>未通过／未参加</v>
      </c>
      <c r="K20" s="11" t="str">
        <f>'描述性评估 (2)'!U8</f>
        <v>未通过／未参加</v>
      </c>
      <c r="L20" s="11" t="str">
        <f>'三角杯测 (1)'!U4</f>
        <v>未通过／未参加</v>
      </c>
      <c r="M20" s="11" t="str">
        <f>'三角杯测 (2)'!U4</f>
        <v>未通过／未参加</v>
      </c>
      <c r="N20" s="11" t="str">
        <f>'烘焙问题 (1)'!U4</f>
        <v>未通过／未参加</v>
      </c>
      <c r="O20" s="11" t="str">
        <f>'烘焙问题 (2)'!U4</f>
        <v>未通过／未参加</v>
      </c>
      <c r="P20" s="11" t="str">
        <f>'基本味觉 (1)'!U6</f>
        <v>未通过／未参加</v>
      </c>
      <c r="Q20" s="11" t="str">
        <f>'基本味觉 (2)'!U6</f>
        <v>未通过／未参加</v>
      </c>
      <c r="R20" s="11" t="str">
        <f>'情感性评估 (1)'!U9</f>
        <v>未通过／未参加</v>
      </c>
      <c r="S20" s="10" t="str">
        <f>'情感性评估 (2)'!U9</f>
        <v>未通过／未参加</v>
      </c>
    </row>
    <row r="21" spans="1:19" ht="20" customHeight="1">
      <c r="A21" s="3">
        <v>20</v>
      </c>
      <c r="B21" s="9" t="str">
        <f>学员姓名!B21</f>
        <v>学生 20</v>
      </c>
      <c r="C21" s="47" t="str">
        <f t="shared" si="0"/>
        <v>未通过</v>
      </c>
      <c r="D21" s="48" t="str">
        <f>'杯测技能 (1)'!V9</f>
        <v>通过</v>
      </c>
      <c r="E21" s="48" t="str">
        <f>'杯测技能 (2)'!V9</f>
        <v>通过</v>
      </c>
      <c r="F21" s="11" t="str">
        <f>'物理性评估 (1)'!V11</f>
        <v>未通过／未参加</v>
      </c>
      <c r="G21" s="11" t="str">
        <f>'物理性评估 (2)'!V11</f>
        <v>未通过／未参加</v>
      </c>
      <c r="H21" s="11" t="str">
        <f>'嗅觉样品分类 (1)'!V4</f>
        <v>未通过／未参加</v>
      </c>
      <c r="I21" s="11" t="str">
        <f>'嗅觉样品分类 (2)'!V4</f>
        <v>未通过／未参加</v>
      </c>
      <c r="J21" s="11" t="str">
        <f>'描述性评估 (1)'!V8</f>
        <v>未通过／未参加</v>
      </c>
      <c r="K21" s="11" t="str">
        <f>'描述性评估 (2)'!V8</f>
        <v>未通过／未参加</v>
      </c>
      <c r="L21" s="11" t="str">
        <f>'三角杯测 (1)'!V4</f>
        <v>未通过／未参加</v>
      </c>
      <c r="M21" s="11" t="str">
        <f>'三角杯测 (2)'!V4</f>
        <v>未通过／未参加</v>
      </c>
      <c r="N21" s="11" t="str">
        <f>'烘焙问题 (1)'!V4</f>
        <v>未通过／未参加</v>
      </c>
      <c r="O21" s="11" t="str">
        <f>'烘焙问题 (2)'!V4</f>
        <v>未通过／未参加</v>
      </c>
      <c r="P21" s="11" t="str">
        <f>'基本味觉 (1)'!V6</f>
        <v>未通过／未参加</v>
      </c>
      <c r="Q21" s="11" t="str">
        <f>'基本味觉 (2)'!V6</f>
        <v>未通过／未参加</v>
      </c>
      <c r="R21" s="11" t="str">
        <f>'情感性评估 (1)'!V9</f>
        <v>未通过／未参加</v>
      </c>
      <c r="S21" s="10" t="str">
        <f>'情感性评估 (2)'!V9</f>
        <v>未通过／未参加</v>
      </c>
    </row>
    <row r="22" spans="1:19" ht="20" customHeight="1">
      <c r="A22" s="3">
        <v>21</v>
      </c>
      <c r="B22" s="9" t="str">
        <f>学员姓名!B22</f>
        <v>学生 21</v>
      </c>
      <c r="C22" s="47" t="str">
        <f t="shared" si="0"/>
        <v>未通过</v>
      </c>
      <c r="D22" s="48" t="str">
        <f>'杯测技能 (1)'!W9</f>
        <v>通过</v>
      </c>
      <c r="E22" s="48" t="str">
        <f>'杯测技能 (2)'!W9</f>
        <v>通过</v>
      </c>
      <c r="F22" s="11" t="str">
        <f>'物理性评估 (1)'!W11</f>
        <v>未通过／未参加</v>
      </c>
      <c r="G22" s="11" t="str">
        <f>'物理性评估 (2)'!W11</f>
        <v>未通过／未参加</v>
      </c>
      <c r="H22" s="11" t="str">
        <f>'嗅觉样品分类 (1)'!W4</f>
        <v>未通过／未参加</v>
      </c>
      <c r="I22" s="11" t="str">
        <f>'嗅觉样品分类 (2)'!W4</f>
        <v>未通过／未参加</v>
      </c>
      <c r="J22" s="11" t="str">
        <f>'描述性评估 (1)'!W8</f>
        <v>未通过／未参加</v>
      </c>
      <c r="K22" s="11" t="str">
        <f>'描述性评估 (2)'!W8</f>
        <v>未通过／未参加</v>
      </c>
      <c r="L22" s="11" t="str">
        <f>'三角杯测 (1)'!W4</f>
        <v>未通过／未参加</v>
      </c>
      <c r="M22" s="11" t="str">
        <f>'三角杯测 (2)'!W4</f>
        <v>未通过／未参加</v>
      </c>
      <c r="N22" s="11" t="str">
        <f>'烘焙问题 (1)'!W4</f>
        <v>未通过／未参加</v>
      </c>
      <c r="O22" s="11" t="str">
        <f>'烘焙问题 (2)'!W4</f>
        <v>未通过／未参加</v>
      </c>
      <c r="P22" s="11" t="str">
        <f>'基本味觉 (1)'!W6</f>
        <v>未通过／未参加</v>
      </c>
      <c r="Q22" s="11" t="str">
        <f>'基本味觉 (2)'!W6</f>
        <v>未通过／未参加</v>
      </c>
      <c r="R22" s="11" t="str">
        <f>'情感性评估 (1)'!W9</f>
        <v>未通过／未参加</v>
      </c>
      <c r="S22" s="10" t="str">
        <f>'情感性评估 (2)'!W9</f>
        <v>未通过／未参加</v>
      </c>
    </row>
    <row r="23" spans="1:19" ht="20" customHeight="1">
      <c r="A23" s="3">
        <v>22</v>
      </c>
      <c r="B23" s="9" t="str">
        <f>学员姓名!B23</f>
        <v>学生 22</v>
      </c>
      <c r="C23" s="47" t="str">
        <f t="shared" si="0"/>
        <v>未通过</v>
      </c>
      <c r="D23" s="48" t="str">
        <f>'杯测技能 (1)'!X9</f>
        <v>通过</v>
      </c>
      <c r="E23" s="48" t="str">
        <f>'杯测技能 (2)'!X9</f>
        <v>通过</v>
      </c>
      <c r="F23" s="11" t="str">
        <f>'物理性评估 (1)'!X11</f>
        <v>未通过／未参加</v>
      </c>
      <c r="G23" s="11" t="str">
        <f>'物理性评估 (2)'!X11</f>
        <v>未通过／未参加</v>
      </c>
      <c r="H23" s="11" t="str">
        <f>'嗅觉样品分类 (1)'!X4</f>
        <v>未通过／未参加</v>
      </c>
      <c r="I23" s="11" t="str">
        <f>'嗅觉样品分类 (2)'!X4</f>
        <v>未通过／未参加</v>
      </c>
      <c r="J23" s="11" t="str">
        <f>'描述性评估 (1)'!X8</f>
        <v>未通过／未参加</v>
      </c>
      <c r="K23" s="11" t="str">
        <f>'描述性评估 (2)'!X8</f>
        <v>未通过／未参加</v>
      </c>
      <c r="L23" s="11" t="str">
        <f>'三角杯测 (1)'!X4</f>
        <v>未通过／未参加</v>
      </c>
      <c r="M23" s="11" t="str">
        <f>'三角杯测 (2)'!X4</f>
        <v>未通过／未参加</v>
      </c>
      <c r="N23" s="11" t="str">
        <f>'烘焙问题 (1)'!X4</f>
        <v>未通过／未参加</v>
      </c>
      <c r="O23" s="11" t="str">
        <f>'烘焙问题 (2)'!X4</f>
        <v>未通过／未参加</v>
      </c>
      <c r="P23" s="11" t="str">
        <f>'基本味觉 (1)'!X6</f>
        <v>未通过／未参加</v>
      </c>
      <c r="Q23" s="11" t="str">
        <f>'基本味觉 (2)'!X6</f>
        <v>未通过／未参加</v>
      </c>
      <c r="R23" s="11" t="str">
        <f>'情感性评估 (1)'!X9</f>
        <v>未通过／未参加</v>
      </c>
      <c r="S23" s="10" t="str">
        <f>'情感性评估 (2)'!X9</f>
        <v>未通过／未参加</v>
      </c>
    </row>
    <row r="24" spans="1:19" ht="20" customHeight="1">
      <c r="A24" s="4">
        <v>23</v>
      </c>
      <c r="B24" s="9" t="str">
        <f>学员姓名!B24</f>
        <v>学生 23</v>
      </c>
      <c r="C24" s="47" t="str">
        <f t="shared" si="0"/>
        <v>未通过</v>
      </c>
      <c r="D24" s="48" t="str">
        <f>'杯测技能 (1)'!Y9</f>
        <v>通过</v>
      </c>
      <c r="E24" s="48" t="str">
        <f>'杯测技能 (2)'!Y9</f>
        <v>通过</v>
      </c>
      <c r="F24" s="11" t="str">
        <f>'物理性评估 (1)'!Y11</f>
        <v>未通过／未参加</v>
      </c>
      <c r="G24" s="11" t="str">
        <f>'物理性评估 (2)'!Y11</f>
        <v>未通过／未参加</v>
      </c>
      <c r="H24" s="11" t="str">
        <f>'嗅觉样品分类 (1)'!Y4</f>
        <v>未通过／未参加</v>
      </c>
      <c r="I24" s="11" t="str">
        <f>'嗅觉样品分类 (2)'!Y4</f>
        <v>未通过／未参加</v>
      </c>
      <c r="J24" s="11" t="str">
        <f>'描述性评估 (1)'!Y8</f>
        <v>未通过／未参加</v>
      </c>
      <c r="K24" s="11" t="str">
        <f>'描述性评估 (2)'!Y8</f>
        <v>未通过／未参加</v>
      </c>
      <c r="L24" s="11" t="str">
        <f>'三角杯测 (1)'!Y4</f>
        <v>未通过／未参加</v>
      </c>
      <c r="M24" s="11" t="str">
        <f>'三角杯测 (2)'!Y4</f>
        <v>未通过／未参加</v>
      </c>
      <c r="N24" s="11" t="str">
        <f>'烘焙问题 (1)'!Y4</f>
        <v>未通过／未参加</v>
      </c>
      <c r="O24" s="11" t="str">
        <f>'烘焙问题 (2)'!Y4</f>
        <v>未通过／未参加</v>
      </c>
      <c r="P24" s="11" t="str">
        <f>'基本味觉 (1)'!Y6</f>
        <v>未通过／未参加</v>
      </c>
      <c r="Q24" s="11" t="str">
        <f>'基本味觉 (2)'!Y6</f>
        <v>未通过／未参加</v>
      </c>
      <c r="R24" s="11" t="str">
        <f>'情感性评估 (1)'!Y9</f>
        <v>未通过／未参加</v>
      </c>
      <c r="S24" s="10" t="str">
        <f>'情感性评估 (2)'!Y9</f>
        <v>未通过／未参加</v>
      </c>
    </row>
    <row r="25" spans="1:19" ht="20" customHeight="1">
      <c r="A25" s="4">
        <v>24</v>
      </c>
      <c r="B25" s="9" t="str">
        <f>学员姓名!B25</f>
        <v>学生 24</v>
      </c>
      <c r="C25" s="47" t="str">
        <f t="shared" si="0"/>
        <v>未通过</v>
      </c>
      <c r="D25" s="48" t="str">
        <f>'杯测技能 (1)'!Z9</f>
        <v>通过</v>
      </c>
      <c r="E25" s="48" t="str">
        <f>'杯测技能 (2)'!Z9</f>
        <v>通过</v>
      </c>
      <c r="F25" s="11" t="str">
        <f>'物理性评估 (1)'!Z11</f>
        <v>未通过／未参加</v>
      </c>
      <c r="G25" s="11" t="str">
        <f>'物理性评估 (2)'!Z11</f>
        <v>未通过／未参加</v>
      </c>
      <c r="H25" s="11" t="str">
        <f>'嗅觉样品分类 (1)'!Z4</f>
        <v>未通过／未参加</v>
      </c>
      <c r="I25" s="11" t="str">
        <f>'嗅觉样品分类 (2)'!Z4</f>
        <v>未通过／未参加</v>
      </c>
      <c r="J25" s="12" t="str">
        <f>'描述性评估 (1)'!Z8</f>
        <v>未通过／未参加</v>
      </c>
      <c r="K25" s="11" t="str">
        <f>'描述性评估 (2)'!Z8</f>
        <v>未通过／未参加</v>
      </c>
      <c r="L25" s="11" t="str">
        <f>'三角杯测 (1)'!Z4</f>
        <v>未通过／未参加</v>
      </c>
      <c r="M25" s="11" t="str">
        <f>'三角杯测 (2)'!Z4</f>
        <v>未通过／未参加</v>
      </c>
      <c r="N25" s="11" t="str">
        <f>'烘焙问题 (1)'!Z4</f>
        <v>未通过／未参加</v>
      </c>
      <c r="O25" s="11" t="str">
        <f>'烘焙问题 (2)'!Z4</f>
        <v>未通过／未参加</v>
      </c>
      <c r="P25" s="11" t="str">
        <f>'基本味觉 (1)'!Z6</f>
        <v>未通过／未参加</v>
      </c>
      <c r="Q25" s="11" t="str">
        <f>'基本味觉 (2)'!Z6</f>
        <v>未通过／未参加</v>
      </c>
      <c r="R25" s="11" t="str">
        <f>'情感性评估 (1)'!Z9</f>
        <v>未通过／未参加</v>
      </c>
      <c r="S25" s="10" t="str">
        <f>'情感性评估 (2)'!Z9</f>
        <v>未通过／未参加</v>
      </c>
    </row>
  </sheetData>
  <sheetProtection algorithmName="SHA-512" hashValue="q+efRyAG5bjJHR6B6lc8BYxioS0ScyXZ8mbzHyShzA7sN9Zq6ckM5qiA72YIqVDavQkoNOV9ZlX45CvDgBBXBA==" saltValue="Qac1ygRUx88LjgqJpctp4Q==" spinCount="100000" sheet="1" selectLockedCells="1"/>
  <conditionalFormatting sqref="C2:C25 F2:S25">
    <cfRule type="cellIs" dxfId="52" priority="4" operator="equal">
      <formula>"PASS"</formula>
    </cfRule>
  </conditionalFormatting>
  <conditionalFormatting sqref="C2:C25">
    <cfRule type="cellIs" dxfId="51" priority="7" operator="equal">
      <formula>"FAIL"</formula>
    </cfRule>
  </conditionalFormatting>
  <conditionalFormatting sqref="D2:D25">
    <cfRule type="cellIs" dxfId="50" priority="2" operator="equal">
      <formula>"未通过"</formula>
    </cfRule>
  </conditionalFormatting>
  <conditionalFormatting sqref="D2:E25">
    <cfRule type="cellIs" dxfId="49" priority="3" operator="equal">
      <formula>"通过"</formula>
    </cfRule>
  </conditionalFormatting>
  <conditionalFormatting sqref="E2:E25">
    <cfRule type="cellIs" dxfId="48" priority="1" operator="equal">
      <formula>"未通过／未参加"</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A11F4-5F0F-FA4E-8B06-B4F220E08645}">
  <dimension ref="A1:Z9"/>
  <sheetViews>
    <sheetView showGridLines="0" workbookViewId="0">
      <pane xSplit="2" topLeftCell="C1" activePane="topRight" state="frozen"/>
      <selection pane="topRight" activeCell="D3" sqref="D3"/>
    </sheetView>
  </sheetViews>
  <sheetFormatPr baseColWidth="10" defaultColWidth="20.83203125" defaultRowHeight="50" customHeight="1"/>
  <cols>
    <col min="1" max="1" width="63.83203125" style="1" customWidth="1"/>
    <col min="2" max="2" width="20.83203125" style="1" customWidth="1"/>
    <col min="3" max="16384" width="20.83203125" style="1"/>
  </cols>
  <sheetData>
    <row r="1" spans="1:26" ht="50" customHeight="1">
      <c r="A1" s="54" t="s">
        <v>45</v>
      </c>
      <c r="B1" s="54"/>
      <c r="C1" s="27" t="str">
        <f>学员姓名!B2</f>
        <v>学生 1</v>
      </c>
      <c r="D1" s="27" t="str">
        <f>学员姓名!B3</f>
        <v>学生 2</v>
      </c>
      <c r="E1" s="27" t="str">
        <f>学员姓名!B4</f>
        <v>学生 3</v>
      </c>
      <c r="F1" s="27" t="str">
        <f>学员姓名!B5</f>
        <v>学生 4</v>
      </c>
      <c r="G1" s="27" t="str">
        <f>学员姓名!B6</f>
        <v>学生 5</v>
      </c>
      <c r="H1" s="27" t="str">
        <f>学员姓名!B7</f>
        <v>学生 6</v>
      </c>
      <c r="I1" s="27" t="str">
        <f>学员姓名!B8</f>
        <v>学生 7</v>
      </c>
      <c r="J1" s="27" t="str">
        <f>学员姓名!B9</f>
        <v>学生 8</v>
      </c>
      <c r="K1" s="27" t="str">
        <f>学员姓名!B10</f>
        <v>学生 9</v>
      </c>
      <c r="L1" s="27" t="str">
        <f>学员姓名!B11</f>
        <v>学生 10</v>
      </c>
      <c r="M1" s="27" t="str">
        <f>学员姓名!B12</f>
        <v>学生 11</v>
      </c>
      <c r="N1" s="27" t="str">
        <f>学员姓名!B13</f>
        <v>学生 12</v>
      </c>
      <c r="O1" s="27" t="str">
        <f>学员姓名!B14</f>
        <v>学生 13</v>
      </c>
      <c r="P1" s="27" t="str">
        <f>学员姓名!B15</f>
        <v>学生 14</v>
      </c>
      <c r="Q1" s="27" t="str">
        <f>学员姓名!B16</f>
        <v>学生 15</v>
      </c>
      <c r="R1" s="27" t="str">
        <f>学员姓名!B17</f>
        <v>学生 16</v>
      </c>
      <c r="S1" s="27" t="str">
        <f>学员姓名!B18</f>
        <v>学生 17</v>
      </c>
      <c r="T1" s="27" t="str">
        <f>学员姓名!B19</f>
        <v>学生 18</v>
      </c>
      <c r="U1" s="27" t="str">
        <f>学员姓名!B20</f>
        <v>学生 19</v>
      </c>
      <c r="V1" s="27" t="str">
        <f>学员姓名!B21</f>
        <v>学生 20</v>
      </c>
      <c r="W1" s="27" t="str">
        <f>学员姓名!B22</f>
        <v>学生 21</v>
      </c>
      <c r="X1" s="27" t="str">
        <f>学员姓名!B23</f>
        <v>学生 22</v>
      </c>
      <c r="Y1" s="27" t="str">
        <f>学员姓名!B24</f>
        <v>学生 23</v>
      </c>
      <c r="Z1" s="27" t="str">
        <f>学员姓名!B25</f>
        <v>学生 24</v>
      </c>
    </row>
    <row r="2" spans="1:26" ht="30" customHeight="1" thickBot="1">
      <c r="A2" s="15" t="s">
        <v>46</v>
      </c>
      <c r="B2" s="16" t="s">
        <v>47</v>
      </c>
      <c r="C2" s="14"/>
      <c r="D2" s="14"/>
      <c r="E2" s="14"/>
      <c r="F2" s="14"/>
      <c r="G2" s="14"/>
      <c r="H2" s="14"/>
      <c r="I2" s="14"/>
      <c r="J2" s="14"/>
      <c r="K2" s="14"/>
      <c r="L2" s="14"/>
      <c r="M2" s="14"/>
      <c r="N2" s="14"/>
      <c r="O2" s="14"/>
      <c r="P2" s="14"/>
      <c r="Q2" s="14"/>
      <c r="R2" s="14"/>
      <c r="S2" s="14"/>
      <c r="T2" s="14"/>
      <c r="U2" s="14"/>
      <c r="V2" s="14"/>
      <c r="W2" s="14"/>
      <c r="X2" s="14"/>
      <c r="Y2" s="14"/>
      <c r="Z2" s="14"/>
    </row>
    <row r="3" spans="1:26" ht="50" customHeight="1">
      <c r="A3" s="13" t="s">
        <v>48</v>
      </c>
      <c r="B3" s="29">
        <v>8</v>
      </c>
      <c r="C3" s="34">
        <v>8</v>
      </c>
      <c r="D3" s="35">
        <v>8</v>
      </c>
      <c r="E3" s="35">
        <v>8</v>
      </c>
      <c r="F3" s="35">
        <v>8</v>
      </c>
      <c r="G3" s="35">
        <v>8</v>
      </c>
      <c r="H3" s="35">
        <v>8</v>
      </c>
      <c r="I3" s="35">
        <v>8</v>
      </c>
      <c r="J3" s="35">
        <v>8</v>
      </c>
      <c r="K3" s="35">
        <v>8</v>
      </c>
      <c r="L3" s="35">
        <v>8</v>
      </c>
      <c r="M3" s="35">
        <v>8</v>
      </c>
      <c r="N3" s="35">
        <v>8</v>
      </c>
      <c r="O3" s="35">
        <v>8</v>
      </c>
      <c r="P3" s="35">
        <v>8</v>
      </c>
      <c r="Q3" s="35">
        <v>8</v>
      </c>
      <c r="R3" s="35">
        <v>8</v>
      </c>
      <c r="S3" s="35">
        <v>8</v>
      </c>
      <c r="T3" s="35">
        <v>8</v>
      </c>
      <c r="U3" s="35">
        <v>8</v>
      </c>
      <c r="V3" s="35">
        <v>8</v>
      </c>
      <c r="W3" s="35">
        <v>8</v>
      </c>
      <c r="X3" s="35">
        <v>8</v>
      </c>
      <c r="Y3" s="35">
        <v>8</v>
      </c>
      <c r="Z3" s="35">
        <v>8</v>
      </c>
    </row>
    <row r="4" spans="1:26" ht="50" customHeight="1">
      <c r="A4" s="27" t="s">
        <v>49</v>
      </c>
      <c r="B4" s="26">
        <v>10</v>
      </c>
      <c r="C4" s="34">
        <v>10</v>
      </c>
      <c r="D4" s="35">
        <v>10</v>
      </c>
      <c r="E4" s="35">
        <v>10</v>
      </c>
      <c r="F4" s="35">
        <v>10</v>
      </c>
      <c r="G4" s="35">
        <v>10</v>
      </c>
      <c r="H4" s="35">
        <v>10</v>
      </c>
      <c r="I4" s="35">
        <v>10</v>
      </c>
      <c r="J4" s="35">
        <v>10</v>
      </c>
      <c r="K4" s="35">
        <v>10</v>
      </c>
      <c r="L4" s="35">
        <v>10</v>
      </c>
      <c r="M4" s="35">
        <v>10</v>
      </c>
      <c r="N4" s="35">
        <v>10</v>
      </c>
      <c r="O4" s="35">
        <v>10</v>
      </c>
      <c r="P4" s="35">
        <v>10</v>
      </c>
      <c r="Q4" s="35">
        <v>10</v>
      </c>
      <c r="R4" s="35">
        <v>10</v>
      </c>
      <c r="S4" s="35">
        <v>10</v>
      </c>
      <c r="T4" s="35">
        <v>10</v>
      </c>
      <c r="U4" s="35">
        <v>10</v>
      </c>
      <c r="V4" s="35">
        <v>10</v>
      </c>
      <c r="W4" s="35">
        <v>10</v>
      </c>
      <c r="X4" s="35">
        <v>10</v>
      </c>
      <c r="Y4" s="35">
        <v>10</v>
      </c>
      <c r="Z4" s="35">
        <v>10</v>
      </c>
    </row>
    <row r="5" spans="1:26" ht="50" customHeight="1">
      <c r="A5" s="28" t="s">
        <v>50</v>
      </c>
      <c r="B5" s="26">
        <v>12</v>
      </c>
      <c r="C5" s="34">
        <v>12</v>
      </c>
      <c r="D5" s="35">
        <v>12</v>
      </c>
      <c r="E5" s="35">
        <v>12</v>
      </c>
      <c r="F5" s="35">
        <v>12</v>
      </c>
      <c r="G5" s="35">
        <v>12</v>
      </c>
      <c r="H5" s="35">
        <v>12</v>
      </c>
      <c r="I5" s="35">
        <v>12</v>
      </c>
      <c r="J5" s="35">
        <v>12</v>
      </c>
      <c r="K5" s="35">
        <v>12</v>
      </c>
      <c r="L5" s="35">
        <v>12</v>
      </c>
      <c r="M5" s="35">
        <v>12</v>
      </c>
      <c r="N5" s="35">
        <v>12</v>
      </c>
      <c r="O5" s="35">
        <v>12</v>
      </c>
      <c r="P5" s="35">
        <v>12</v>
      </c>
      <c r="Q5" s="35">
        <v>12</v>
      </c>
      <c r="R5" s="35">
        <v>12</v>
      </c>
      <c r="S5" s="35">
        <v>12</v>
      </c>
      <c r="T5" s="35">
        <v>12</v>
      </c>
      <c r="U5" s="35">
        <v>12</v>
      </c>
      <c r="V5" s="35">
        <v>12</v>
      </c>
      <c r="W5" s="35">
        <v>12</v>
      </c>
      <c r="X5" s="35">
        <v>12</v>
      </c>
      <c r="Y5" s="35">
        <v>12</v>
      </c>
      <c r="Z5" s="35">
        <v>12</v>
      </c>
    </row>
    <row r="6" spans="1:26" ht="50" customHeight="1">
      <c r="A6" s="28" t="s">
        <v>51</v>
      </c>
      <c r="B6" s="26">
        <v>12</v>
      </c>
      <c r="C6" s="34">
        <v>12</v>
      </c>
      <c r="D6" s="35">
        <v>12</v>
      </c>
      <c r="E6" s="35">
        <v>12</v>
      </c>
      <c r="F6" s="35">
        <v>12</v>
      </c>
      <c r="G6" s="35">
        <v>12</v>
      </c>
      <c r="H6" s="35">
        <v>12</v>
      </c>
      <c r="I6" s="35">
        <v>12</v>
      </c>
      <c r="J6" s="35">
        <v>12</v>
      </c>
      <c r="K6" s="35">
        <v>12</v>
      </c>
      <c r="L6" s="35">
        <v>12</v>
      </c>
      <c r="M6" s="35">
        <v>12</v>
      </c>
      <c r="N6" s="35">
        <v>12</v>
      </c>
      <c r="O6" s="35">
        <v>12</v>
      </c>
      <c r="P6" s="35">
        <v>12</v>
      </c>
      <c r="Q6" s="35">
        <v>12</v>
      </c>
      <c r="R6" s="35">
        <v>12</v>
      </c>
      <c r="S6" s="35">
        <v>12</v>
      </c>
      <c r="T6" s="35">
        <v>12</v>
      </c>
      <c r="U6" s="35">
        <v>12</v>
      </c>
      <c r="V6" s="35">
        <v>12</v>
      </c>
      <c r="W6" s="35">
        <v>12</v>
      </c>
      <c r="X6" s="35">
        <v>12</v>
      </c>
      <c r="Y6" s="35">
        <v>12</v>
      </c>
      <c r="Z6" s="35">
        <v>12</v>
      </c>
    </row>
    <row r="7" spans="1:26" ht="50" customHeight="1">
      <c r="A7" s="28" t="s">
        <v>52</v>
      </c>
      <c r="B7" s="26">
        <v>8</v>
      </c>
      <c r="C7" s="34">
        <v>8</v>
      </c>
      <c r="D7" s="35">
        <v>8</v>
      </c>
      <c r="E7" s="35">
        <v>8</v>
      </c>
      <c r="F7" s="35">
        <v>8</v>
      </c>
      <c r="G7" s="35">
        <v>8</v>
      </c>
      <c r="H7" s="35">
        <v>8</v>
      </c>
      <c r="I7" s="35">
        <v>8</v>
      </c>
      <c r="J7" s="35">
        <v>8</v>
      </c>
      <c r="K7" s="35">
        <v>8</v>
      </c>
      <c r="L7" s="35">
        <v>8</v>
      </c>
      <c r="M7" s="35">
        <v>8</v>
      </c>
      <c r="N7" s="35">
        <v>8</v>
      </c>
      <c r="O7" s="35">
        <v>8</v>
      </c>
      <c r="P7" s="35">
        <v>8</v>
      </c>
      <c r="Q7" s="35">
        <v>8</v>
      </c>
      <c r="R7" s="35">
        <v>8</v>
      </c>
      <c r="S7" s="35">
        <v>8</v>
      </c>
      <c r="T7" s="35">
        <v>8</v>
      </c>
      <c r="U7" s="35">
        <v>8</v>
      </c>
      <c r="V7" s="35">
        <v>8</v>
      </c>
      <c r="W7" s="35">
        <v>8</v>
      </c>
      <c r="X7" s="35">
        <v>8</v>
      </c>
      <c r="Y7" s="35">
        <v>8</v>
      </c>
      <c r="Z7" s="35">
        <v>8</v>
      </c>
    </row>
    <row r="8" spans="1:26" ht="50" customHeight="1" thickBot="1">
      <c r="A8" s="33" t="s">
        <v>53</v>
      </c>
      <c r="B8" s="31">
        <v>50</v>
      </c>
      <c r="C8" s="31">
        <f>SUM(C3:C7)</f>
        <v>50</v>
      </c>
      <c r="D8" s="31">
        <f t="shared" ref="D8:Z8" si="0">SUM(D3:D7)</f>
        <v>50</v>
      </c>
      <c r="E8" s="31">
        <f t="shared" si="0"/>
        <v>50</v>
      </c>
      <c r="F8" s="31">
        <f t="shared" si="0"/>
        <v>50</v>
      </c>
      <c r="G8" s="31">
        <f t="shared" si="0"/>
        <v>50</v>
      </c>
      <c r="H8" s="31">
        <f t="shared" si="0"/>
        <v>50</v>
      </c>
      <c r="I8" s="31">
        <f t="shared" si="0"/>
        <v>50</v>
      </c>
      <c r="J8" s="31">
        <f t="shared" si="0"/>
        <v>50</v>
      </c>
      <c r="K8" s="31">
        <f t="shared" si="0"/>
        <v>50</v>
      </c>
      <c r="L8" s="31">
        <f t="shared" si="0"/>
        <v>50</v>
      </c>
      <c r="M8" s="31">
        <f t="shared" si="0"/>
        <v>50</v>
      </c>
      <c r="N8" s="31">
        <f t="shared" si="0"/>
        <v>50</v>
      </c>
      <c r="O8" s="31">
        <f t="shared" si="0"/>
        <v>50</v>
      </c>
      <c r="P8" s="31">
        <f t="shared" si="0"/>
        <v>50</v>
      </c>
      <c r="Q8" s="31">
        <f t="shared" si="0"/>
        <v>50</v>
      </c>
      <c r="R8" s="31">
        <f t="shared" si="0"/>
        <v>50</v>
      </c>
      <c r="S8" s="31">
        <f t="shared" si="0"/>
        <v>50</v>
      </c>
      <c r="T8" s="31">
        <f t="shared" si="0"/>
        <v>50</v>
      </c>
      <c r="U8" s="31">
        <f t="shared" si="0"/>
        <v>50</v>
      </c>
      <c r="V8" s="31">
        <f t="shared" si="0"/>
        <v>50</v>
      </c>
      <c r="W8" s="31">
        <f t="shared" si="0"/>
        <v>50</v>
      </c>
      <c r="X8" s="31">
        <f t="shared" si="0"/>
        <v>50</v>
      </c>
      <c r="Y8" s="31">
        <f t="shared" si="0"/>
        <v>50</v>
      </c>
      <c r="Z8" s="31">
        <f t="shared" si="0"/>
        <v>50</v>
      </c>
    </row>
    <row r="9" spans="1:26" ht="50" customHeight="1">
      <c r="A9" s="32" t="s">
        <v>54</v>
      </c>
      <c r="B9" s="30">
        <v>40</v>
      </c>
      <c r="C9" s="46" t="str">
        <f>IF(C8&gt;=$B$9,"通过","未通过")</f>
        <v>通过</v>
      </c>
      <c r="D9" s="46" t="str">
        <f>IF(D8&gt;=$B$9,"通过","未通过")</f>
        <v>通过</v>
      </c>
      <c r="E9" s="46" t="str">
        <f t="shared" ref="E9:Q9" si="1">IF(E8&gt;=$B$9,"通过","未通过")</f>
        <v>通过</v>
      </c>
      <c r="F9" s="46" t="str">
        <f t="shared" si="1"/>
        <v>通过</v>
      </c>
      <c r="G9" s="46" t="str">
        <f t="shared" si="1"/>
        <v>通过</v>
      </c>
      <c r="H9" s="46" t="str">
        <f t="shared" si="1"/>
        <v>通过</v>
      </c>
      <c r="I9" s="46" t="str">
        <f t="shared" si="1"/>
        <v>通过</v>
      </c>
      <c r="J9" s="46" t="str">
        <f t="shared" si="1"/>
        <v>通过</v>
      </c>
      <c r="K9" s="46" t="str">
        <f t="shared" si="1"/>
        <v>通过</v>
      </c>
      <c r="L9" s="46" t="str">
        <f t="shared" si="1"/>
        <v>通过</v>
      </c>
      <c r="M9" s="46" t="str">
        <f t="shared" si="1"/>
        <v>通过</v>
      </c>
      <c r="N9" s="46" t="str">
        <f t="shared" si="1"/>
        <v>通过</v>
      </c>
      <c r="O9" s="46" t="str">
        <f t="shared" si="1"/>
        <v>通过</v>
      </c>
      <c r="P9" s="46" t="str">
        <f t="shared" si="1"/>
        <v>通过</v>
      </c>
      <c r="Q9" s="46" t="str">
        <f t="shared" si="1"/>
        <v>通过</v>
      </c>
      <c r="R9" s="46" t="str">
        <f>IF(R8&gt;=$B$9,"通过","未通过")</f>
        <v>通过</v>
      </c>
      <c r="S9" s="46" t="str">
        <f t="shared" ref="S9" si="2">IF(S8&gt;=$B$9,"通过","未通过")</f>
        <v>通过</v>
      </c>
      <c r="T9" s="46" t="str">
        <f t="shared" ref="T9" si="3">IF(T8&gt;=$B$9,"通过","未通过")</f>
        <v>通过</v>
      </c>
      <c r="U9" s="46" t="str">
        <f t="shared" ref="U9" si="4">IF(U8&gt;=$B$9,"通过","未通过")</f>
        <v>通过</v>
      </c>
      <c r="V9" s="46" t="str">
        <f t="shared" ref="V9" si="5">IF(V8&gt;=$B$9,"通过","未通过")</f>
        <v>通过</v>
      </c>
      <c r="W9" s="46" t="str">
        <f>IF(W8&gt;=$B$9,"通过","未通过")</f>
        <v>通过</v>
      </c>
      <c r="X9" s="46" t="str">
        <f t="shared" ref="X9" si="6">IF(X8&gt;=$B$9,"通过","未通过")</f>
        <v>通过</v>
      </c>
      <c r="Y9" s="46" t="str">
        <f t="shared" ref="Y9" si="7">IF(Y8&gt;=$B$9,"通过","未通过")</f>
        <v>通过</v>
      </c>
      <c r="Z9" s="46" t="str">
        <f>IF(Z8&gt;=$B$9,"通过","未通过")</f>
        <v>通过</v>
      </c>
    </row>
  </sheetData>
  <sheetProtection algorithmName="SHA-512" hashValue="OajtcG1/BZrbXQ9Y+Q/qRhGlYEVF5c0L/aZ4+eB5/ed8mDTl/nGE4MoNGKtBBwoUKphjHl/knhLqOzKUXe5UHQ==" saltValue="3RuDfBWeBMvA+fIcArEOcA==" spinCount="100000" sheet="1" selectLockedCells="1"/>
  <mergeCells count="1">
    <mergeCell ref="A1:B1"/>
  </mergeCells>
  <conditionalFormatting sqref="C9:Z9">
    <cfRule type="cellIs" dxfId="47" priority="1" operator="equal">
      <formula>"未通过"</formula>
    </cfRule>
    <cfRule type="cellIs" dxfId="46" priority="2" operator="equal">
      <formula>"FAIL"</formula>
    </cfRule>
    <cfRule type="cellIs" dxfId="45" priority="3" operator="equal">
      <formula>"PASS"</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CE20-7B27-F448-9E82-736B8AF266EE}">
  <dimension ref="A1:Z9"/>
  <sheetViews>
    <sheetView showGridLines="0" workbookViewId="0">
      <pane xSplit="2" topLeftCell="C1" activePane="topRight" state="frozen"/>
      <selection pane="topRight" activeCell="C7" sqref="C7"/>
    </sheetView>
  </sheetViews>
  <sheetFormatPr baseColWidth="10" defaultColWidth="20.83203125" defaultRowHeight="50" customHeight="1"/>
  <cols>
    <col min="1" max="1" width="63.83203125" style="1" customWidth="1"/>
    <col min="2" max="2" width="20.83203125" style="1" customWidth="1"/>
    <col min="3" max="16384" width="20.83203125" style="1"/>
  </cols>
  <sheetData>
    <row r="1" spans="1:26" ht="50" customHeight="1">
      <c r="A1" s="54" t="s">
        <v>55</v>
      </c>
      <c r="B1" s="54"/>
      <c r="C1" s="27" t="str">
        <f>学员姓名!B2</f>
        <v>学生 1</v>
      </c>
      <c r="D1" s="27" t="str">
        <f>学员姓名!B3</f>
        <v>学生 2</v>
      </c>
      <c r="E1" s="27" t="str">
        <f>学员姓名!B4</f>
        <v>学生 3</v>
      </c>
      <c r="F1" s="27" t="str">
        <f>学员姓名!B5</f>
        <v>学生 4</v>
      </c>
      <c r="G1" s="27" t="str">
        <f>学员姓名!B6</f>
        <v>学生 5</v>
      </c>
      <c r="H1" s="27" t="str">
        <f>学员姓名!B7</f>
        <v>学生 6</v>
      </c>
      <c r="I1" s="27" t="str">
        <f>学员姓名!B8</f>
        <v>学生 7</v>
      </c>
      <c r="J1" s="27" t="str">
        <f>学员姓名!B9</f>
        <v>学生 8</v>
      </c>
      <c r="K1" s="27" t="str">
        <f>学员姓名!B10</f>
        <v>学生 9</v>
      </c>
      <c r="L1" s="27" t="str">
        <f>学员姓名!B11</f>
        <v>学生 10</v>
      </c>
      <c r="M1" s="27" t="str">
        <f>学员姓名!B12</f>
        <v>学生 11</v>
      </c>
      <c r="N1" s="27" t="str">
        <f>学员姓名!B13</f>
        <v>学生 12</v>
      </c>
      <c r="O1" s="27" t="str">
        <f>学员姓名!B14</f>
        <v>学生 13</v>
      </c>
      <c r="P1" s="27" t="str">
        <f>学员姓名!B15</f>
        <v>学生 14</v>
      </c>
      <c r="Q1" s="27" t="str">
        <f>学员姓名!B16</f>
        <v>学生 15</v>
      </c>
      <c r="R1" s="27" t="str">
        <f>学员姓名!B17</f>
        <v>学生 16</v>
      </c>
      <c r="S1" s="27" t="str">
        <f>学员姓名!B18</f>
        <v>学生 17</v>
      </c>
      <c r="T1" s="27" t="str">
        <f>学员姓名!B19</f>
        <v>学生 18</v>
      </c>
      <c r="U1" s="27" t="str">
        <f>学员姓名!B20</f>
        <v>学生 19</v>
      </c>
      <c r="V1" s="27" t="str">
        <f>学员姓名!B21</f>
        <v>学生 20</v>
      </c>
      <c r="W1" s="27" t="str">
        <f>学员姓名!B22</f>
        <v>学生 21</v>
      </c>
      <c r="X1" s="27" t="str">
        <f>学员姓名!B23</f>
        <v>学生 22</v>
      </c>
      <c r="Y1" s="27" t="str">
        <f>学员姓名!B24</f>
        <v>学生 23</v>
      </c>
      <c r="Z1" s="27" t="str">
        <f>学员姓名!B25</f>
        <v>学生 24</v>
      </c>
    </row>
    <row r="2" spans="1:26" ht="30" customHeight="1" thickBot="1">
      <c r="A2" s="15" t="s">
        <v>46</v>
      </c>
      <c r="B2" s="16" t="s">
        <v>47</v>
      </c>
      <c r="C2" s="14"/>
      <c r="D2" s="14"/>
      <c r="E2" s="14"/>
      <c r="F2" s="14"/>
      <c r="G2" s="14"/>
      <c r="H2" s="14"/>
      <c r="I2" s="14"/>
      <c r="J2" s="14"/>
      <c r="K2" s="14"/>
      <c r="L2" s="14"/>
      <c r="M2" s="14"/>
      <c r="N2" s="14"/>
      <c r="O2" s="14"/>
      <c r="P2" s="14"/>
      <c r="Q2" s="14"/>
      <c r="R2" s="14"/>
      <c r="S2" s="14"/>
      <c r="T2" s="14"/>
      <c r="U2" s="14"/>
      <c r="V2" s="14"/>
      <c r="W2" s="14"/>
      <c r="X2" s="14"/>
      <c r="Y2" s="14"/>
      <c r="Z2" s="14"/>
    </row>
    <row r="3" spans="1:26" ht="50" customHeight="1">
      <c r="A3" s="36" t="s">
        <v>48</v>
      </c>
      <c r="B3" s="29">
        <v>8</v>
      </c>
      <c r="C3" s="35">
        <v>8</v>
      </c>
      <c r="D3" s="35">
        <v>8</v>
      </c>
      <c r="E3" s="35">
        <v>8</v>
      </c>
      <c r="F3" s="35">
        <v>8</v>
      </c>
      <c r="G3" s="35">
        <v>8</v>
      </c>
      <c r="H3" s="35">
        <v>8</v>
      </c>
      <c r="I3" s="35">
        <v>8</v>
      </c>
      <c r="J3" s="35">
        <v>8</v>
      </c>
      <c r="K3" s="35">
        <v>8</v>
      </c>
      <c r="L3" s="35">
        <v>8</v>
      </c>
      <c r="M3" s="35">
        <v>8</v>
      </c>
      <c r="N3" s="35">
        <v>8</v>
      </c>
      <c r="O3" s="35">
        <v>8</v>
      </c>
      <c r="P3" s="35">
        <v>8</v>
      </c>
      <c r="Q3" s="35">
        <v>8</v>
      </c>
      <c r="R3" s="35">
        <v>8</v>
      </c>
      <c r="S3" s="35">
        <v>8</v>
      </c>
      <c r="T3" s="35">
        <v>8</v>
      </c>
      <c r="U3" s="35">
        <v>8</v>
      </c>
      <c r="V3" s="35">
        <v>8</v>
      </c>
      <c r="W3" s="35">
        <v>8</v>
      </c>
      <c r="X3" s="35">
        <v>8</v>
      </c>
      <c r="Y3" s="35">
        <v>8</v>
      </c>
      <c r="Z3" s="35">
        <v>8</v>
      </c>
    </row>
    <row r="4" spans="1:26" ht="50" customHeight="1">
      <c r="A4" s="27" t="s">
        <v>49</v>
      </c>
      <c r="B4" s="26">
        <v>10</v>
      </c>
      <c r="C4" s="35">
        <v>10</v>
      </c>
      <c r="D4" s="35">
        <v>10</v>
      </c>
      <c r="E4" s="35">
        <v>10</v>
      </c>
      <c r="F4" s="35">
        <v>10</v>
      </c>
      <c r="G4" s="35">
        <v>10</v>
      </c>
      <c r="H4" s="35">
        <v>10</v>
      </c>
      <c r="I4" s="35">
        <v>10</v>
      </c>
      <c r="J4" s="35">
        <v>10</v>
      </c>
      <c r="K4" s="35">
        <v>10</v>
      </c>
      <c r="L4" s="35">
        <v>10</v>
      </c>
      <c r="M4" s="35">
        <v>10</v>
      </c>
      <c r="N4" s="35">
        <v>10</v>
      </c>
      <c r="O4" s="35">
        <v>10</v>
      </c>
      <c r="P4" s="35">
        <v>10</v>
      </c>
      <c r="Q4" s="35">
        <v>10</v>
      </c>
      <c r="R4" s="35">
        <v>10</v>
      </c>
      <c r="S4" s="35">
        <v>10</v>
      </c>
      <c r="T4" s="35">
        <v>10</v>
      </c>
      <c r="U4" s="35">
        <v>10</v>
      </c>
      <c r="V4" s="35">
        <v>10</v>
      </c>
      <c r="W4" s="35">
        <v>10</v>
      </c>
      <c r="X4" s="35">
        <v>10</v>
      </c>
      <c r="Y4" s="35">
        <v>10</v>
      </c>
      <c r="Z4" s="35">
        <v>10</v>
      </c>
    </row>
    <row r="5" spans="1:26" ht="50" customHeight="1">
      <c r="A5" s="28" t="s">
        <v>50</v>
      </c>
      <c r="B5" s="26">
        <v>12</v>
      </c>
      <c r="C5" s="35">
        <v>12</v>
      </c>
      <c r="D5" s="35">
        <v>12</v>
      </c>
      <c r="E5" s="35">
        <v>12</v>
      </c>
      <c r="F5" s="35">
        <v>12</v>
      </c>
      <c r="G5" s="35">
        <v>12</v>
      </c>
      <c r="H5" s="35">
        <v>12</v>
      </c>
      <c r="I5" s="35">
        <v>12</v>
      </c>
      <c r="J5" s="35">
        <v>12</v>
      </c>
      <c r="K5" s="35">
        <v>12</v>
      </c>
      <c r="L5" s="35">
        <v>12</v>
      </c>
      <c r="M5" s="35">
        <v>12</v>
      </c>
      <c r="N5" s="35">
        <v>12</v>
      </c>
      <c r="O5" s="35">
        <v>12</v>
      </c>
      <c r="P5" s="35">
        <v>12</v>
      </c>
      <c r="Q5" s="35">
        <v>12</v>
      </c>
      <c r="R5" s="35">
        <v>12</v>
      </c>
      <c r="S5" s="35">
        <v>12</v>
      </c>
      <c r="T5" s="35">
        <v>12</v>
      </c>
      <c r="U5" s="35">
        <v>12</v>
      </c>
      <c r="V5" s="35">
        <v>12</v>
      </c>
      <c r="W5" s="35">
        <v>12</v>
      </c>
      <c r="X5" s="35">
        <v>12</v>
      </c>
      <c r="Y5" s="35">
        <v>12</v>
      </c>
      <c r="Z5" s="35">
        <v>12</v>
      </c>
    </row>
    <row r="6" spans="1:26" ht="50" customHeight="1">
      <c r="A6" s="28" t="s">
        <v>51</v>
      </c>
      <c r="B6" s="26">
        <v>12</v>
      </c>
      <c r="C6" s="35">
        <v>12</v>
      </c>
      <c r="D6" s="35">
        <v>12</v>
      </c>
      <c r="E6" s="35">
        <v>12</v>
      </c>
      <c r="F6" s="35">
        <v>12</v>
      </c>
      <c r="G6" s="35">
        <v>12</v>
      </c>
      <c r="H6" s="35">
        <v>12</v>
      </c>
      <c r="I6" s="35">
        <v>12</v>
      </c>
      <c r="J6" s="35">
        <v>12</v>
      </c>
      <c r="K6" s="35">
        <v>12</v>
      </c>
      <c r="L6" s="35">
        <v>12</v>
      </c>
      <c r="M6" s="35">
        <v>12</v>
      </c>
      <c r="N6" s="35">
        <v>12</v>
      </c>
      <c r="O6" s="35">
        <v>12</v>
      </c>
      <c r="P6" s="35">
        <v>12</v>
      </c>
      <c r="Q6" s="35">
        <v>12</v>
      </c>
      <c r="R6" s="35">
        <v>12</v>
      </c>
      <c r="S6" s="35">
        <v>12</v>
      </c>
      <c r="T6" s="35">
        <v>12</v>
      </c>
      <c r="U6" s="35">
        <v>12</v>
      </c>
      <c r="V6" s="35">
        <v>12</v>
      </c>
      <c r="W6" s="35">
        <v>12</v>
      </c>
      <c r="X6" s="35">
        <v>12</v>
      </c>
      <c r="Y6" s="35">
        <v>12</v>
      </c>
      <c r="Z6" s="35">
        <v>12</v>
      </c>
    </row>
    <row r="7" spans="1:26" ht="50" customHeight="1">
      <c r="A7" s="28" t="s">
        <v>52</v>
      </c>
      <c r="B7" s="26">
        <v>8</v>
      </c>
      <c r="C7" s="35">
        <v>8</v>
      </c>
      <c r="D7" s="35">
        <v>8</v>
      </c>
      <c r="E7" s="35">
        <v>8</v>
      </c>
      <c r="F7" s="35">
        <v>8</v>
      </c>
      <c r="G7" s="35">
        <v>8</v>
      </c>
      <c r="H7" s="35">
        <v>8</v>
      </c>
      <c r="I7" s="35">
        <v>8</v>
      </c>
      <c r="J7" s="35">
        <v>8</v>
      </c>
      <c r="K7" s="35">
        <v>8</v>
      </c>
      <c r="L7" s="35">
        <v>8</v>
      </c>
      <c r="M7" s="35">
        <v>8</v>
      </c>
      <c r="N7" s="35">
        <v>8</v>
      </c>
      <c r="O7" s="35">
        <v>8</v>
      </c>
      <c r="P7" s="35">
        <v>8</v>
      </c>
      <c r="Q7" s="35">
        <v>8</v>
      </c>
      <c r="R7" s="35">
        <v>8</v>
      </c>
      <c r="S7" s="35">
        <v>8</v>
      </c>
      <c r="T7" s="35">
        <v>8</v>
      </c>
      <c r="U7" s="35">
        <v>8</v>
      </c>
      <c r="V7" s="35">
        <v>8</v>
      </c>
      <c r="W7" s="35">
        <v>8</v>
      </c>
      <c r="X7" s="35">
        <v>8</v>
      </c>
      <c r="Y7" s="35">
        <v>8</v>
      </c>
      <c r="Z7" s="35">
        <v>8</v>
      </c>
    </row>
    <row r="8" spans="1:26" ht="50" customHeight="1" thickBot="1">
      <c r="A8" s="38" t="s">
        <v>53</v>
      </c>
      <c r="B8" s="31">
        <v>50</v>
      </c>
      <c r="C8" s="31">
        <f>SUM(C3:C7)</f>
        <v>50</v>
      </c>
      <c r="D8" s="31">
        <f t="shared" ref="D8:Z8" si="0">SUM(D3:D7)</f>
        <v>50</v>
      </c>
      <c r="E8" s="31">
        <f t="shared" si="0"/>
        <v>50</v>
      </c>
      <c r="F8" s="31">
        <f t="shared" si="0"/>
        <v>50</v>
      </c>
      <c r="G8" s="31">
        <f t="shared" si="0"/>
        <v>50</v>
      </c>
      <c r="H8" s="31">
        <f t="shared" si="0"/>
        <v>50</v>
      </c>
      <c r="I8" s="31">
        <f t="shared" si="0"/>
        <v>50</v>
      </c>
      <c r="J8" s="31">
        <f t="shared" si="0"/>
        <v>50</v>
      </c>
      <c r="K8" s="31">
        <f t="shared" si="0"/>
        <v>50</v>
      </c>
      <c r="L8" s="31">
        <f t="shared" si="0"/>
        <v>50</v>
      </c>
      <c r="M8" s="31">
        <f t="shared" si="0"/>
        <v>50</v>
      </c>
      <c r="N8" s="31">
        <f t="shared" si="0"/>
        <v>50</v>
      </c>
      <c r="O8" s="31">
        <f t="shared" si="0"/>
        <v>50</v>
      </c>
      <c r="P8" s="31">
        <f t="shared" si="0"/>
        <v>50</v>
      </c>
      <c r="Q8" s="31">
        <f t="shared" si="0"/>
        <v>50</v>
      </c>
      <c r="R8" s="31">
        <f t="shared" si="0"/>
        <v>50</v>
      </c>
      <c r="S8" s="31">
        <f t="shared" si="0"/>
        <v>50</v>
      </c>
      <c r="T8" s="31">
        <f t="shared" si="0"/>
        <v>50</v>
      </c>
      <c r="U8" s="31">
        <f t="shared" si="0"/>
        <v>50</v>
      </c>
      <c r="V8" s="31">
        <f t="shared" si="0"/>
        <v>50</v>
      </c>
      <c r="W8" s="31">
        <f t="shared" si="0"/>
        <v>50</v>
      </c>
      <c r="X8" s="31">
        <f t="shared" si="0"/>
        <v>50</v>
      </c>
      <c r="Y8" s="31">
        <f t="shared" si="0"/>
        <v>50</v>
      </c>
      <c r="Z8" s="31">
        <f t="shared" si="0"/>
        <v>50</v>
      </c>
    </row>
    <row r="9" spans="1:26" ht="50" customHeight="1">
      <c r="A9" s="32" t="s">
        <v>54</v>
      </c>
      <c r="B9" s="30">
        <v>40</v>
      </c>
      <c r="C9" s="46" t="str">
        <f>IF(C8&gt;=$B$9,"通过","未通过／未参加")</f>
        <v>通过</v>
      </c>
      <c r="D9" s="46" t="str">
        <f t="shared" ref="D9:Z9" si="1">IF(D8&gt;=$B$9,"通过","未通过／未参加")</f>
        <v>通过</v>
      </c>
      <c r="E9" s="46" t="str">
        <f t="shared" si="1"/>
        <v>通过</v>
      </c>
      <c r="F9" s="46" t="str">
        <f t="shared" si="1"/>
        <v>通过</v>
      </c>
      <c r="G9" s="46" t="str">
        <f t="shared" si="1"/>
        <v>通过</v>
      </c>
      <c r="H9" s="46" t="str">
        <f t="shared" si="1"/>
        <v>通过</v>
      </c>
      <c r="I9" s="46" t="str">
        <f t="shared" si="1"/>
        <v>通过</v>
      </c>
      <c r="J9" s="46" t="str">
        <f t="shared" si="1"/>
        <v>通过</v>
      </c>
      <c r="K9" s="46" t="str">
        <f t="shared" si="1"/>
        <v>通过</v>
      </c>
      <c r="L9" s="46" t="str">
        <f t="shared" si="1"/>
        <v>通过</v>
      </c>
      <c r="M9" s="46" t="str">
        <f t="shared" si="1"/>
        <v>通过</v>
      </c>
      <c r="N9" s="46" t="str">
        <f t="shared" si="1"/>
        <v>通过</v>
      </c>
      <c r="O9" s="46" t="str">
        <f t="shared" si="1"/>
        <v>通过</v>
      </c>
      <c r="P9" s="46" t="str">
        <f t="shared" si="1"/>
        <v>通过</v>
      </c>
      <c r="Q9" s="46" t="str">
        <f t="shared" si="1"/>
        <v>通过</v>
      </c>
      <c r="R9" s="46" t="str">
        <f t="shared" si="1"/>
        <v>通过</v>
      </c>
      <c r="S9" s="46" t="str">
        <f t="shared" si="1"/>
        <v>通过</v>
      </c>
      <c r="T9" s="46" t="str">
        <f t="shared" si="1"/>
        <v>通过</v>
      </c>
      <c r="U9" s="46" t="str">
        <f t="shared" si="1"/>
        <v>通过</v>
      </c>
      <c r="V9" s="46" t="str">
        <f t="shared" si="1"/>
        <v>通过</v>
      </c>
      <c r="W9" s="46" t="str">
        <f t="shared" si="1"/>
        <v>通过</v>
      </c>
      <c r="X9" s="46" t="str">
        <f t="shared" si="1"/>
        <v>通过</v>
      </c>
      <c r="Y9" s="46" t="str">
        <f t="shared" si="1"/>
        <v>通过</v>
      </c>
      <c r="Z9" s="46" t="str">
        <f t="shared" si="1"/>
        <v>通过</v>
      </c>
    </row>
  </sheetData>
  <sheetProtection algorithmName="SHA-512" hashValue="rwuSaYUcyTX9l/hV+DtdCyZhiTp+C4kBbee2Tj+STXiSGT1KAc3b9CruQFu8kpQlS6bKS9H1qCfYnmEBGmxe7Q==" saltValue="LiDOiqprB3vGjzxXopCEUQ==" spinCount="100000" sheet="1" selectLockedCells="1"/>
  <mergeCells count="1">
    <mergeCell ref="A1:B1"/>
  </mergeCells>
  <conditionalFormatting sqref="C9:Z9">
    <cfRule type="cellIs" dxfId="44" priority="1" operator="equal">
      <formula>"未通过／未参加"</formula>
    </cfRule>
    <cfRule type="cellIs" dxfId="43" priority="2" operator="equal">
      <formula>"FAIL"</formula>
    </cfRule>
    <cfRule type="cellIs" dxfId="42" priority="3" operator="equal">
      <formula>"PASS"</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75A11-340D-C64E-AFF9-9BEC858B2753}">
  <dimension ref="A1:Z11"/>
  <sheetViews>
    <sheetView showGridLines="0" topLeftCell="A2" workbookViewId="0">
      <pane xSplit="2" topLeftCell="C1" activePane="topRight" state="frozen"/>
      <selection pane="topRight" activeCell="D9" sqref="D9"/>
    </sheetView>
  </sheetViews>
  <sheetFormatPr baseColWidth="10" defaultColWidth="11" defaultRowHeight="50" customHeight="1"/>
  <cols>
    <col min="1" max="1" width="63.83203125" customWidth="1"/>
    <col min="2" max="26" width="20.83203125" customWidth="1"/>
  </cols>
  <sheetData>
    <row r="1" spans="1:26" ht="50" customHeight="1">
      <c r="A1" s="54" t="s">
        <v>65</v>
      </c>
      <c r="B1" s="54"/>
      <c r="C1" s="27" t="str">
        <f>学员姓名!B2</f>
        <v>学生 1</v>
      </c>
      <c r="D1" s="27" t="str">
        <f>学员姓名!B3</f>
        <v>学生 2</v>
      </c>
      <c r="E1" s="27" t="str">
        <f>学员姓名!B4</f>
        <v>学生 3</v>
      </c>
      <c r="F1" s="27" t="str">
        <f>学员姓名!B5</f>
        <v>学生 4</v>
      </c>
      <c r="G1" s="27" t="str">
        <f>学员姓名!B6</f>
        <v>学生 5</v>
      </c>
      <c r="H1" s="27" t="str">
        <f>学员姓名!B7</f>
        <v>学生 6</v>
      </c>
      <c r="I1" s="27" t="str">
        <f>学员姓名!B8</f>
        <v>学生 7</v>
      </c>
      <c r="J1" s="27" t="str">
        <f>学员姓名!B9</f>
        <v>学生 8</v>
      </c>
      <c r="K1" s="27" t="str">
        <f>学员姓名!B10</f>
        <v>学生 9</v>
      </c>
      <c r="L1" s="27" t="str">
        <f>学员姓名!B11</f>
        <v>学生 10</v>
      </c>
      <c r="M1" s="27" t="str">
        <f>学员姓名!B12</f>
        <v>学生 11</v>
      </c>
      <c r="N1" s="27" t="str">
        <f>学员姓名!B13</f>
        <v>学生 12</v>
      </c>
      <c r="O1" s="27" t="str">
        <f>学员姓名!B14</f>
        <v>学生 13</v>
      </c>
      <c r="P1" s="27" t="str">
        <f>学员姓名!B15</f>
        <v>学生 14</v>
      </c>
      <c r="Q1" s="27" t="str">
        <f>学员姓名!B16</f>
        <v>学生 15</v>
      </c>
      <c r="R1" s="27" t="str">
        <f>学员姓名!B17</f>
        <v>学生 16</v>
      </c>
      <c r="S1" s="27" t="str">
        <f>学员姓名!B18</f>
        <v>学生 17</v>
      </c>
      <c r="T1" s="27" t="str">
        <f>学员姓名!B19</f>
        <v>学生 18</v>
      </c>
      <c r="U1" s="27" t="str">
        <f>学员姓名!B20</f>
        <v>学生 19</v>
      </c>
      <c r="V1" s="27" t="str">
        <f>学员姓名!B21</f>
        <v>学生 20</v>
      </c>
      <c r="W1" s="27" t="str">
        <f>学员姓名!B22</f>
        <v>学生 21</v>
      </c>
      <c r="X1" s="27" t="str">
        <f>学员姓名!B23</f>
        <v>学生 22</v>
      </c>
      <c r="Y1" s="27" t="str">
        <f>学员姓名!B24</f>
        <v>学生 23</v>
      </c>
      <c r="Z1" s="27" t="str">
        <f>学员姓名!B25</f>
        <v>学生 24</v>
      </c>
    </row>
    <row r="2" spans="1:26" ht="30" customHeight="1" thickBot="1">
      <c r="A2" s="15" t="s">
        <v>46</v>
      </c>
      <c r="B2" s="16" t="s">
        <v>47</v>
      </c>
      <c r="C2" s="14"/>
      <c r="D2" s="14"/>
      <c r="E2" s="14"/>
      <c r="F2" s="14"/>
      <c r="G2" s="14"/>
      <c r="H2" s="14"/>
      <c r="I2" s="14"/>
      <c r="J2" s="14"/>
      <c r="K2" s="14"/>
      <c r="L2" s="14"/>
      <c r="M2" s="14"/>
      <c r="N2" s="14"/>
      <c r="O2" s="14"/>
      <c r="P2" s="14"/>
      <c r="Q2" s="14"/>
      <c r="R2" s="14"/>
      <c r="S2" s="14"/>
      <c r="T2" s="14"/>
      <c r="U2" s="14"/>
      <c r="V2" s="14"/>
      <c r="W2" s="14"/>
      <c r="X2" s="14"/>
      <c r="Y2" s="14"/>
      <c r="Z2" s="14"/>
    </row>
    <row r="3" spans="1:26" ht="50" customHeight="1">
      <c r="A3" s="36" t="s">
        <v>56</v>
      </c>
      <c r="B3" s="30">
        <v>2</v>
      </c>
      <c r="C3" s="35"/>
      <c r="D3" s="35"/>
      <c r="E3" s="35"/>
      <c r="F3" s="35"/>
      <c r="G3" s="35"/>
      <c r="H3" s="35"/>
      <c r="I3" s="35"/>
      <c r="J3" s="35"/>
      <c r="K3" s="35"/>
      <c r="L3" s="35"/>
      <c r="M3" s="35"/>
      <c r="N3" s="35"/>
      <c r="O3" s="35"/>
      <c r="P3" s="35"/>
      <c r="Q3" s="35"/>
      <c r="R3" s="35"/>
      <c r="S3" s="35"/>
      <c r="T3" s="35"/>
      <c r="U3" s="35"/>
      <c r="V3" s="35"/>
      <c r="W3" s="35"/>
      <c r="X3" s="35"/>
      <c r="Y3" s="35"/>
      <c r="Z3" s="35"/>
    </row>
    <row r="4" spans="1:26" ht="50" customHeight="1">
      <c r="A4" s="27" t="s">
        <v>57</v>
      </c>
      <c r="B4" s="10">
        <v>8</v>
      </c>
      <c r="C4" s="35"/>
      <c r="D4" s="35"/>
      <c r="E4" s="35"/>
      <c r="F4" s="35"/>
      <c r="G4" s="35"/>
      <c r="H4" s="35"/>
      <c r="I4" s="35"/>
      <c r="J4" s="35"/>
      <c r="K4" s="35"/>
      <c r="L4" s="35"/>
      <c r="M4" s="35"/>
      <c r="N4" s="35"/>
      <c r="O4" s="35"/>
      <c r="P4" s="35"/>
      <c r="Q4" s="35"/>
      <c r="R4" s="35"/>
      <c r="S4" s="35"/>
      <c r="T4" s="35"/>
      <c r="U4" s="35"/>
      <c r="V4" s="35"/>
      <c r="W4" s="35"/>
      <c r="X4" s="35"/>
      <c r="Y4" s="35"/>
      <c r="Z4" s="35"/>
    </row>
    <row r="5" spans="1:26" ht="50" customHeight="1">
      <c r="A5" s="27" t="s">
        <v>58</v>
      </c>
      <c r="B5" s="10">
        <v>12</v>
      </c>
      <c r="C5" s="35"/>
      <c r="D5" s="35"/>
      <c r="E5" s="35"/>
      <c r="F5" s="35"/>
      <c r="G5" s="35"/>
      <c r="H5" s="35"/>
      <c r="I5" s="35"/>
      <c r="J5" s="35"/>
      <c r="K5" s="35"/>
      <c r="L5" s="35"/>
      <c r="M5" s="35"/>
      <c r="N5" s="35"/>
      <c r="O5" s="35"/>
      <c r="P5" s="35"/>
      <c r="Q5" s="35"/>
      <c r="R5" s="35"/>
      <c r="S5" s="35"/>
      <c r="T5" s="35"/>
      <c r="U5" s="35"/>
      <c r="V5" s="35"/>
      <c r="W5" s="35"/>
      <c r="X5" s="35"/>
      <c r="Y5" s="35"/>
      <c r="Z5" s="35"/>
    </row>
    <row r="6" spans="1:26" ht="50" customHeight="1">
      <c r="A6" s="27" t="s">
        <v>59</v>
      </c>
      <c r="B6" s="10">
        <v>8</v>
      </c>
      <c r="C6" s="35"/>
      <c r="D6" s="35"/>
      <c r="E6" s="35"/>
      <c r="F6" s="35"/>
      <c r="G6" s="35"/>
      <c r="H6" s="35"/>
      <c r="I6" s="35"/>
      <c r="J6" s="35"/>
      <c r="K6" s="35"/>
      <c r="L6" s="35"/>
      <c r="M6" s="35"/>
      <c r="N6" s="35"/>
      <c r="O6" s="35"/>
      <c r="P6" s="35"/>
      <c r="Q6" s="35"/>
      <c r="R6" s="35"/>
      <c r="S6" s="35"/>
      <c r="T6" s="35"/>
      <c r="U6" s="35"/>
      <c r="V6" s="35"/>
      <c r="W6" s="35"/>
      <c r="X6" s="35"/>
      <c r="Y6" s="35"/>
      <c r="Z6" s="35"/>
    </row>
    <row r="7" spans="1:26" ht="50" customHeight="1">
      <c r="A7" s="27" t="s">
        <v>60</v>
      </c>
      <c r="B7" s="10">
        <v>4</v>
      </c>
      <c r="C7" s="35"/>
      <c r="D7" s="35"/>
      <c r="E7" s="35"/>
      <c r="F7" s="35"/>
      <c r="G7" s="35"/>
      <c r="H7" s="35"/>
      <c r="I7" s="35"/>
      <c r="J7" s="35"/>
      <c r="K7" s="35"/>
      <c r="L7" s="35"/>
      <c r="M7" s="35"/>
      <c r="N7" s="35"/>
      <c r="O7" s="35"/>
      <c r="P7" s="35"/>
      <c r="Q7" s="35"/>
      <c r="R7" s="35"/>
      <c r="S7" s="35"/>
      <c r="T7" s="35"/>
      <c r="U7" s="35"/>
      <c r="V7" s="35"/>
      <c r="W7" s="35"/>
      <c r="X7" s="35"/>
      <c r="Y7" s="35"/>
      <c r="Z7" s="35"/>
    </row>
    <row r="8" spans="1:26" ht="50" customHeight="1">
      <c r="A8" s="27" t="s">
        <v>61</v>
      </c>
      <c r="B8" s="10">
        <v>8</v>
      </c>
      <c r="C8" s="35"/>
      <c r="D8" s="35"/>
      <c r="E8" s="35"/>
      <c r="F8" s="35"/>
      <c r="G8" s="35"/>
      <c r="H8" s="35"/>
      <c r="I8" s="35"/>
      <c r="J8" s="35"/>
      <c r="K8" s="35"/>
      <c r="L8" s="35"/>
      <c r="M8" s="35"/>
      <c r="N8" s="35"/>
      <c r="O8" s="35"/>
      <c r="P8" s="35"/>
      <c r="Q8" s="35"/>
      <c r="R8" s="35"/>
      <c r="S8" s="35"/>
      <c r="T8" s="35"/>
      <c r="U8" s="35"/>
      <c r="V8" s="35"/>
      <c r="W8" s="35"/>
      <c r="X8" s="35"/>
      <c r="Y8" s="35"/>
      <c r="Z8" s="35"/>
    </row>
    <row r="9" spans="1:26" ht="50" customHeight="1">
      <c r="A9" s="27" t="s">
        <v>62</v>
      </c>
      <c r="B9" s="10">
        <v>8</v>
      </c>
      <c r="C9" s="35"/>
      <c r="D9" s="35"/>
      <c r="E9" s="35"/>
      <c r="F9" s="35"/>
      <c r="G9" s="35"/>
      <c r="H9" s="35"/>
      <c r="I9" s="35"/>
      <c r="J9" s="35"/>
      <c r="K9" s="35"/>
      <c r="L9" s="35"/>
      <c r="M9" s="35"/>
      <c r="N9" s="35"/>
      <c r="O9" s="35"/>
      <c r="P9" s="35"/>
      <c r="Q9" s="35"/>
      <c r="R9" s="35"/>
      <c r="S9" s="35"/>
      <c r="T9" s="35"/>
      <c r="U9" s="35"/>
      <c r="V9" s="35"/>
      <c r="W9" s="35"/>
      <c r="X9" s="35"/>
      <c r="Y9" s="35"/>
      <c r="Z9" s="35"/>
    </row>
    <row r="10" spans="1:26" ht="50" customHeight="1" thickBot="1">
      <c r="A10" s="38" t="s">
        <v>63</v>
      </c>
      <c r="B10" s="31">
        <v>50</v>
      </c>
      <c r="C10" s="31">
        <f>SUM(C3:C9)</f>
        <v>0</v>
      </c>
      <c r="D10" s="31">
        <f t="shared" ref="D10:Z10" si="0">SUM(D3:D9)</f>
        <v>0</v>
      </c>
      <c r="E10" s="31">
        <f t="shared" si="0"/>
        <v>0</v>
      </c>
      <c r="F10" s="31">
        <f t="shared" si="0"/>
        <v>0</v>
      </c>
      <c r="G10" s="31">
        <f t="shared" si="0"/>
        <v>0</v>
      </c>
      <c r="H10" s="31">
        <f t="shared" si="0"/>
        <v>0</v>
      </c>
      <c r="I10" s="31">
        <f t="shared" si="0"/>
        <v>0</v>
      </c>
      <c r="J10" s="31">
        <f t="shared" si="0"/>
        <v>0</v>
      </c>
      <c r="K10" s="31">
        <f t="shared" si="0"/>
        <v>0</v>
      </c>
      <c r="L10" s="31">
        <f t="shared" si="0"/>
        <v>0</v>
      </c>
      <c r="M10" s="31">
        <f t="shared" si="0"/>
        <v>0</v>
      </c>
      <c r="N10" s="31">
        <f t="shared" si="0"/>
        <v>0</v>
      </c>
      <c r="O10" s="31">
        <f t="shared" si="0"/>
        <v>0</v>
      </c>
      <c r="P10" s="31">
        <f t="shared" si="0"/>
        <v>0</v>
      </c>
      <c r="Q10" s="31">
        <f t="shared" si="0"/>
        <v>0</v>
      </c>
      <c r="R10" s="31">
        <f t="shared" si="0"/>
        <v>0</v>
      </c>
      <c r="S10" s="31">
        <f t="shared" si="0"/>
        <v>0</v>
      </c>
      <c r="T10" s="31">
        <f t="shared" si="0"/>
        <v>0</v>
      </c>
      <c r="U10" s="31">
        <f t="shared" si="0"/>
        <v>0</v>
      </c>
      <c r="V10" s="31">
        <f t="shared" si="0"/>
        <v>0</v>
      </c>
      <c r="W10" s="31">
        <f t="shared" si="0"/>
        <v>0</v>
      </c>
      <c r="X10" s="31">
        <f t="shared" si="0"/>
        <v>0</v>
      </c>
      <c r="Y10" s="31">
        <f t="shared" si="0"/>
        <v>0</v>
      </c>
      <c r="Z10" s="31">
        <f t="shared" si="0"/>
        <v>0</v>
      </c>
    </row>
    <row r="11" spans="1:26" ht="50" customHeight="1">
      <c r="A11" s="32" t="s">
        <v>64</v>
      </c>
      <c r="B11" s="30">
        <v>40</v>
      </c>
      <c r="C11" s="30" t="str">
        <f>IF(C10&gt;=$B$11,"通过","未通过／未参加")</f>
        <v>未通过／未参加</v>
      </c>
      <c r="D11" s="30" t="str">
        <f t="shared" ref="D11:Z11" si="1">IF(D10&gt;=$B$11,"通过","未通过／未参加")</f>
        <v>未通过／未参加</v>
      </c>
      <c r="E11" s="30" t="str">
        <f t="shared" si="1"/>
        <v>未通过／未参加</v>
      </c>
      <c r="F11" s="30" t="str">
        <f t="shared" si="1"/>
        <v>未通过／未参加</v>
      </c>
      <c r="G11" s="30" t="str">
        <f t="shared" si="1"/>
        <v>未通过／未参加</v>
      </c>
      <c r="H11" s="30" t="str">
        <f t="shared" si="1"/>
        <v>未通过／未参加</v>
      </c>
      <c r="I11" s="30" t="str">
        <f t="shared" si="1"/>
        <v>未通过／未参加</v>
      </c>
      <c r="J11" s="30" t="str">
        <f t="shared" si="1"/>
        <v>未通过／未参加</v>
      </c>
      <c r="K11" s="30" t="str">
        <f t="shared" si="1"/>
        <v>未通过／未参加</v>
      </c>
      <c r="L11" s="30" t="str">
        <f t="shared" si="1"/>
        <v>未通过／未参加</v>
      </c>
      <c r="M11" s="30" t="str">
        <f t="shared" si="1"/>
        <v>未通过／未参加</v>
      </c>
      <c r="N11" s="30" t="str">
        <f t="shared" si="1"/>
        <v>未通过／未参加</v>
      </c>
      <c r="O11" s="30" t="str">
        <f t="shared" si="1"/>
        <v>未通过／未参加</v>
      </c>
      <c r="P11" s="30" t="str">
        <f t="shared" si="1"/>
        <v>未通过／未参加</v>
      </c>
      <c r="Q11" s="30" t="str">
        <f t="shared" si="1"/>
        <v>未通过／未参加</v>
      </c>
      <c r="R11" s="30" t="str">
        <f t="shared" si="1"/>
        <v>未通过／未参加</v>
      </c>
      <c r="S11" s="30" t="str">
        <f t="shared" si="1"/>
        <v>未通过／未参加</v>
      </c>
      <c r="T11" s="30" t="str">
        <f t="shared" si="1"/>
        <v>未通过／未参加</v>
      </c>
      <c r="U11" s="30" t="str">
        <f t="shared" si="1"/>
        <v>未通过／未参加</v>
      </c>
      <c r="V11" s="30" t="str">
        <f t="shared" si="1"/>
        <v>未通过／未参加</v>
      </c>
      <c r="W11" s="30" t="str">
        <f t="shared" si="1"/>
        <v>未通过／未参加</v>
      </c>
      <c r="X11" s="30" t="str">
        <f t="shared" si="1"/>
        <v>未通过／未参加</v>
      </c>
      <c r="Y11" s="30" t="str">
        <f t="shared" si="1"/>
        <v>未通过／未参加</v>
      </c>
      <c r="Z11" s="30" t="str">
        <f t="shared" si="1"/>
        <v>未通过／未参加</v>
      </c>
    </row>
  </sheetData>
  <sheetProtection algorithmName="SHA-512" hashValue="Lv5yOrL6jdF+IcSGVAfa0b1tp2B8wXNI1n8/bTUfuGIIEQm1oi9Pz4v0pAtw8qv6hiE+xw5r/G0PCTeuWS9efA==" saltValue="D6vk506XCgUa9DKg43XbvA==" spinCount="100000" sheet="1" selectLockedCells="1"/>
  <mergeCells count="1">
    <mergeCell ref="A1:B1"/>
  </mergeCells>
  <conditionalFormatting sqref="C11:Z11">
    <cfRule type="cellIs" dxfId="41" priority="1" operator="equal">
      <formula>"通过"</formula>
    </cfRule>
    <cfRule type="cellIs" dxfId="40" priority="2" operator="equal">
      <formula>"PASS"</formula>
    </cfRule>
    <cfRule type="cellIs" dxfId="39" priority="3" operator="equal">
      <formula>"FAIL"</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2AB01-D090-9749-BA70-D3AC60C8CAB2}">
  <dimension ref="A1:Z11"/>
  <sheetViews>
    <sheetView showGridLines="0" workbookViewId="0">
      <pane xSplit="2" topLeftCell="C1" activePane="topRight" state="frozen"/>
      <selection pane="topRight" activeCell="C3" sqref="C3"/>
    </sheetView>
  </sheetViews>
  <sheetFormatPr baseColWidth="10" defaultColWidth="11" defaultRowHeight="50" customHeight="1"/>
  <cols>
    <col min="1" max="1" width="63.83203125" customWidth="1"/>
    <col min="2" max="26" width="20.83203125" customWidth="1"/>
  </cols>
  <sheetData>
    <row r="1" spans="1:26" ht="50" customHeight="1">
      <c r="A1" s="54" t="s">
        <v>66</v>
      </c>
      <c r="B1" s="54"/>
      <c r="C1" s="27" t="str">
        <f>学员姓名!B2</f>
        <v>学生 1</v>
      </c>
      <c r="D1" s="27" t="str">
        <f>学员姓名!B3</f>
        <v>学生 2</v>
      </c>
      <c r="E1" s="27" t="str">
        <f>学员姓名!B4</f>
        <v>学生 3</v>
      </c>
      <c r="F1" s="27" t="str">
        <f>学员姓名!B5</f>
        <v>学生 4</v>
      </c>
      <c r="G1" s="27" t="str">
        <f>学员姓名!B6</f>
        <v>学生 5</v>
      </c>
      <c r="H1" s="27" t="str">
        <f>学员姓名!B7</f>
        <v>学生 6</v>
      </c>
      <c r="I1" s="27" t="str">
        <f>学员姓名!B8</f>
        <v>学生 7</v>
      </c>
      <c r="J1" s="27" t="str">
        <f>学员姓名!B9</f>
        <v>学生 8</v>
      </c>
      <c r="K1" s="27" t="str">
        <f>学员姓名!B10</f>
        <v>学生 9</v>
      </c>
      <c r="L1" s="27" t="str">
        <f>学员姓名!B11</f>
        <v>学生 10</v>
      </c>
      <c r="M1" s="27" t="str">
        <f>学员姓名!B12</f>
        <v>学生 11</v>
      </c>
      <c r="N1" s="27" t="str">
        <f>学员姓名!B13</f>
        <v>学生 12</v>
      </c>
      <c r="O1" s="27" t="str">
        <f>学员姓名!B14</f>
        <v>学生 13</v>
      </c>
      <c r="P1" s="27" t="str">
        <f>学员姓名!B15</f>
        <v>学生 14</v>
      </c>
      <c r="Q1" s="27" t="str">
        <f>学员姓名!B16</f>
        <v>学生 15</v>
      </c>
      <c r="R1" s="27" t="str">
        <f>学员姓名!B17</f>
        <v>学生 16</v>
      </c>
      <c r="S1" s="27" t="str">
        <f>学员姓名!B18</f>
        <v>学生 17</v>
      </c>
      <c r="T1" s="27" t="str">
        <f>学员姓名!B19</f>
        <v>学生 18</v>
      </c>
      <c r="U1" s="27" t="str">
        <f>学员姓名!B20</f>
        <v>学生 19</v>
      </c>
      <c r="V1" s="27" t="str">
        <f>学员姓名!B21</f>
        <v>学生 20</v>
      </c>
      <c r="W1" s="27" t="str">
        <f>学员姓名!B22</f>
        <v>学生 21</v>
      </c>
      <c r="X1" s="27" t="str">
        <f>学员姓名!B23</f>
        <v>学生 22</v>
      </c>
      <c r="Y1" s="27" t="str">
        <f>学员姓名!B24</f>
        <v>学生 23</v>
      </c>
      <c r="Z1" s="27" t="str">
        <f>学员姓名!B25</f>
        <v>学生 24</v>
      </c>
    </row>
    <row r="2" spans="1:26" ht="30" customHeight="1" thickBot="1">
      <c r="A2" s="15" t="s">
        <v>46</v>
      </c>
      <c r="B2" s="16" t="s">
        <v>47</v>
      </c>
      <c r="C2" s="14"/>
      <c r="D2" s="14"/>
      <c r="E2" s="14"/>
      <c r="F2" s="14"/>
      <c r="G2" s="14"/>
      <c r="H2" s="14"/>
      <c r="I2" s="14"/>
      <c r="J2" s="14"/>
      <c r="K2" s="14"/>
      <c r="L2" s="14"/>
      <c r="M2" s="14"/>
      <c r="N2" s="14"/>
      <c r="O2" s="14"/>
      <c r="P2" s="14"/>
      <c r="Q2" s="14"/>
      <c r="R2" s="14"/>
      <c r="S2" s="14"/>
      <c r="T2" s="14"/>
      <c r="U2" s="14"/>
      <c r="V2" s="14"/>
      <c r="W2" s="14"/>
      <c r="X2" s="14"/>
      <c r="Y2" s="14"/>
      <c r="Z2" s="14"/>
    </row>
    <row r="3" spans="1:26" ht="50" customHeight="1">
      <c r="A3" s="36" t="s">
        <v>56</v>
      </c>
      <c r="B3" s="30">
        <v>2</v>
      </c>
      <c r="C3" s="35"/>
      <c r="D3" s="35"/>
      <c r="E3" s="35"/>
      <c r="F3" s="35"/>
      <c r="G3" s="35"/>
      <c r="H3" s="35"/>
      <c r="I3" s="35"/>
      <c r="J3" s="35"/>
      <c r="K3" s="35"/>
      <c r="L3" s="35"/>
      <c r="M3" s="35"/>
      <c r="N3" s="35"/>
      <c r="O3" s="35"/>
      <c r="P3" s="35"/>
      <c r="Q3" s="35"/>
      <c r="R3" s="35"/>
      <c r="S3" s="35"/>
      <c r="T3" s="35"/>
      <c r="U3" s="35"/>
      <c r="V3" s="35"/>
      <c r="W3" s="35"/>
      <c r="X3" s="35"/>
      <c r="Y3" s="35"/>
      <c r="Z3" s="35"/>
    </row>
    <row r="4" spans="1:26" ht="50" customHeight="1">
      <c r="A4" s="27" t="s">
        <v>57</v>
      </c>
      <c r="B4" s="10">
        <v>8</v>
      </c>
      <c r="C4" s="35"/>
      <c r="D4" s="35"/>
      <c r="E4" s="35"/>
      <c r="F4" s="35"/>
      <c r="G4" s="35"/>
      <c r="H4" s="35"/>
      <c r="I4" s="35"/>
      <c r="J4" s="35"/>
      <c r="K4" s="35"/>
      <c r="L4" s="35"/>
      <c r="M4" s="35"/>
      <c r="N4" s="35"/>
      <c r="O4" s="35"/>
      <c r="P4" s="35"/>
      <c r="Q4" s="35"/>
      <c r="R4" s="35"/>
      <c r="S4" s="35"/>
      <c r="T4" s="35"/>
      <c r="U4" s="35"/>
      <c r="V4" s="35"/>
      <c r="W4" s="35"/>
      <c r="X4" s="35"/>
      <c r="Y4" s="35"/>
      <c r="Z4" s="35"/>
    </row>
    <row r="5" spans="1:26" ht="50" customHeight="1">
      <c r="A5" s="27" t="s">
        <v>58</v>
      </c>
      <c r="B5" s="10">
        <v>12</v>
      </c>
      <c r="C5" s="35"/>
      <c r="D5" s="35"/>
      <c r="E5" s="35"/>
      <c r="F5" s="35"/>
      <c r="G5" s="35"/>
      <c r="H5" s="35"/>
      <c r="I5" s="35"/>
      <c r="J5" s="35"/>
      <c r="K5" s="35"/>
      <c r="L5" s="35"/>
      <c r="M5" s="35"/>
      <c r="N5" s="35"/>
      <c r="O5" s="35"/>
      <c r="P5" s="35"/>
      <c r="Q5" s="35"/>
      <c r="R5" s="35"/>
      <c r="S5" s="35"/>
      <c r="T5" s="35"/>
      <c r="U5" s="35"/>
      <c r="V5" s="35"/>
      <c r="W5" s="35"/>
      <c r="X5" s="35"/>
      <c r="Y5" s="35"/>
      <c r="Z5" s="35"/>
    </row>
    <row r="6" spans="1:26" ht="50" customHeight="1">
      <c r="A6" s="27" t="s">
        <v>59</v>
      </c>
      <c r="B6" s="10">
        <v>8</v>
      </c>
      <c r="C6" s="35"/>
      <c r="D6" s="35"/>
      <c r="E6" s="35"/>
      <c r="F6" s="35"/>
      <c r="G6" s="35"/>
      <c r="H6" s="35"/>
      <c r="I6" s="35"/>
      <c r="J6" s="35"/>
      <c r="K6" s="35"/>
      <c r="L6" s="35"/>
      <c r="M6" s="35"/>
      <c r="N6" s="35"/>
      <c r="O6" s="35"/>
      <c r="P6" s="35"/>
      <c r="Q6" s="35"/>
      <c r="R6" s="35"/>
      <c r="S6" s="35"/>
      <c r="T6" s="35"/>
      <c r="U6" s="35"/>
      <c r="V6" s="35"/>
      <c r="W6" s="35"/>
      <c r="X6" s="35"/>
      <c r="Y6" s="35"/>
      <c r="Z6" s="35"/>
    </row>
    <row r="7" spans="1:26" ht="50" customHeight="1">
      <c r="A7" s="27" t="s">
        <v>60</v>
      </c>
      <c r="B7" s="10">
        <v>4</v>
      </c>
      <c r="C7" s="35"/>
      <c r="D7" s="35"/>
      <c r="E7" s="35"/>
      <c r="F7" s="35"/>
      <c r="G7" s="35"/>
      <c r="H7" s="35"/>
      <c r="I7" s="35"/>
      <c r="J7" s="35"/>
      <c r="K7" s="35"/>
      <c r="L7" s="35"/>
      <c r="M7" s="35"/>
      <c r="N7" s="35"/>
      <c r="O7" s="35"/>
      <c r="P7" s="35"/>
      <c r="Q7" s="35"/>
      <c r="R7" s="35"/>
      <c r="S7" s="35"/>
      <c r="T7" s="35"/>
      <c r="U7" s="35"/>
      <c r="V7" s="35"/>
      <c r="W7" s="35"/>
      <c r="X7" s="35"/>
      <c r="Y7" s="35"/>
      <c r="Z7" s="35"/>
    </row>
    <row r="8" spans="1:26" ht="50" customHeight="1">
      <c r="A8" s="27" t="s">
        <v>61</v>
      </c>
      <c r="B8" s="10">
        <v>8</v>
      </c>
      <c r="C8" s="35"/>
      <c r="D8" s="35"/>
      <c r="E8" s="35"/>
      <c r="F8" s="35"/>
      <c r="G8" s="35"/>
      <c r="H8" s="35"/>
      <c r="I8" s="35"/>
      <c r="J8" s="35"/>
      <c r="K8" s="35"/>
      <c r="L8" s="35"/>
      <c r="M8" s="35"/>
      <c r="N8" s="35"/>
      <c r="O8" s="35"/>
      <c r="P8" s="35"/>
      <c r="Q8" s="35"/>
      <c r="R8" s="35"/>
      <c r="S8" s="35"/>
      <c r="T8" s="35"/>
      <c r="U8" s="35"/>
      <c r="V8" s="35"/>
      <c r="W8" s="35"/>
      <c r="X8" s="35"/>
      <c r="Y8" s="35"/>
      <c r="Z8" s="35"/>
    </row>
    <row r="9" spans="1:26" ht="50" customHeight="1">
      <c r="A9" s="27" t="s">
        <v>62</v>
      </c>
      <c r="B9" s="10">
        <v>8</v>
      </c>
      <c r="C9" s="35"/>
      <c r="D9" s="35"/>
      <c r="E9" s="35"/>
      <c r="F9" s="35"/>
      <c r="G9" s="35"/>
      <c r="H9" s="35"/>
      <c r="I9" s="35"/>
      <c r="J9" s="35"/>
      <c r="K9" s="35"/>
      <c r="L9" s="35"/>
      <c r="M9" s="35"/>
      <c r="N9" s="35"/>
      <c r="O9" s="35"/>
      <c r="P9" s="35"/>
      <c r="Q9" s="35"/>
      <c r="R9" s="35"/>
      <c r="S9" s="35"/>
      <c r="T9" s="35"/>
      <c r="U9" s="35"/>
      <c r="V9" s="35"/>
      <c r="W9" s="35"/>
      <c r="X9" s="35"/>
      <c r="Y9" s="35"/>
      <c r="Z9" s="35"/>
    </row>
    <row r="10" spans="1:26" ht="50" customHeight="1" thickBot="1">
      <c r="A10" s="38" t="s">
        <v>63</v>
      </c>
      <c r="B10" s="31">
        <v>50</v>
      </c>
      <c r="C10" s="31">
        <f>SUM(C3:C9)</f>
        <v>0</v>
      </c>
      <c r="D10" s="31">
        <f t="shared" ref="D10:Z10" si="0">SUM(D3:D9)</f>
        <v>0</v>
      </c>
      <c r="E10" s="31">
        <f t="shared" si="0"/>
        <v>0</v>
      </c>
      <c r="F10" s="31">
        <f t="shared" si="0"/>
        <v>0</v>
      </c>
      <c r="G10" s="31">
        <f t="shared" si="0"/>
        <v>0</v>
      </c>
      <c r="H10" s="31">
        <f t="shared" si="0"/>
        <v>0</v>
      </c>
      <c r="I10" s="31">
        <f t="shared" si="0"/>
        <v>0</v>
      </c>
      <c r="J10" s="31">
        <f t="shared" si="0"/>
        <v>0</v>
      </c>
      <c r="K10" s="31">
        <f t="shared" si="0"/>
        <v>0</v>
      </c>
      <c r="L10" s="31">
        <f t="shared" si="0"/>
        <v>0</v>
      </c>
      <c r="M10" s="31">
        <f t="shared" si="0"/>
        <v>0</v>
      </c>
      <c r="N10" s="31">
        <f t="shared" si="0"/>
        <v>0</v>
      </c>
      <c r="O10" s="31">
        <f t="shared" si="0"/>
        <v>0</v>
      </c>
      <c r="P10" s="31">
        <f t="shared" si="0"/>
        <v>0</v>
      </c>
      <c r="Q10" s="31">
        <f t="shared" si="0"/>
        <v>0</v>
      </c>
      <c r="R10" s="31">
        <f t="shared" si="0"/>
        <v>0</v>
      </c>
      <c r="S10" s="31">
        <f t="shared" si="0"/>
        <v>0</v>
      </c>
      <c r="T10" s="31">
        <f t="shared" si="0"/>
        <v>0</v>
      </c>
      <c r="U10" s="31">
        <f t="shared" si="0"/>
        <v>0</v>
      </c>
      <c r="V10" s="31">
        <f t="shared" si="0"/>
        <v>0</v>
      </c>
      <c r="W10" s="31">
        <f t="shared" si="0"/>
        <v>0</v>
      </c>
      <c r="X10" s="31">
        <f t="shared" si="0"/>
        <v>0</v>
      </c>
      <c r="Y10" s="31">
        <f t="shared" si="0"/>
        <v>0</v>
      </c>
      <c r="Z10" s="31">
        <f t="shared" si="0"/>
        <v>0</v>
      </c>
    </row>
    <row r="11" spans="1:26" ht="50" customHeight="1">
      <c r="A11" s="32" t="s">
        <v>64</v>
      </c>
      <c r="B11" s="30">
        <v>40</v>
      </c>
      <c r="C11" s="30" t="str">
        <f>IF(C10&gt;=$B$11,"通过","未通过／未参加")</f>
        <v>未通过／未参加</v>
      </c>
      <c r="D11" s="30" t="str">
        <f t="shared" ref="D11:Z11" si="1">IF(D10&gt;=$B$11,"通过","未通过／未参加")</f>
        <v>未通过／未参加</v>
      </c>
      <c r="E11" s="30" t="str">
        <f t="shared" si="1"/>
        <v>未通过／未参加</v>
      </c>
      <c r="F11" s="30" t="str">
        <f t="shared" si="1"/>
        <v>未通过／未参加</v>
      </c>
      <c r="G11" s="30" t="str">
        <f t="shared" si="1"/>
        <v>未通过／未参加</v>
      </c>
      <c r="H11" s="30" t="str">
        <f t="shared" si="1"/>
        <v>未通过／未参加</v>
      </c>
      <c r="I11" s="30" t="str">
        <f t="shared" si="1"/>
        <v>未通过／未参加</v>
      </c>
      <c r="J11" s="30" t="str">
        <f t="shared" si="1"/>
        <v>未通过／未参加</v>
      </c>
      <c r="K11" s="30" t="str">
        <f t="shared" si="1"/>
        <v>未通过／未参加</v>
      </c>
      <c r="L11" s="30" t="str">
        <f t="shared" si="1"/>
        <v>未通过／未参加</v>
      </c>
      <c r="M11" s="30" t="str">
        <f t="shared" si="1"/>
        <v>未通过／未参加</v>
      </c>
      <c r="N11" s="30" t="str">
        <f t="shared" si="1"/>
        <v>未通过／未参加</v>
      </c>
      <c r="O11" s="30" t="str">
        <f t="shared" si="1"/>
        <v>未通过／未参加</v>
      </c>
      <c r="P11" s="30" t="str">
        <f t="shared" si="1"/>
        <v>未通过／未参加</v>
      </c>
      <c r="Q11" s="30" t="str">
        <f t="shared" si="1"/>
        <v>未通过／未参加</v>
      </c>
      <c r="R11" s="30" t="str">
        <f t="shared" si="1"/>
        <v>未通过／未参加</v>
      </c>
      <c r="S11" s="30" t="str">
        <f t="shared" si="1"/>
        <v>未通过／未参加</v>
      </c>
      <c r="T11" s="30" t="str">
        <f t="shared" si="1"/>
        <v>未通过／未参加</v>
      </c>
      <c r="U11" s="30" t="str">
        <f t="shared" si="1"/>
        <v>未通过／未参加</v>
      </c>
      <c r="V11" s="30" t="str">
        <f t="shared" si="1"/>
        <v>未通过／未参加</v>
      </c>
      <c r="W11" s="30" t="str">
        <f t="shared" si="1"/>
        <v>未通过／未参加</v>
      </c>
      <c r="X11" s="30" t="str">
        <f t="shared" si="1"/>
        <v>未通过／未参加</v>
      </c>
      <c r="Y11" s="30" t="str">
        <f t="shared" si="1"/>
        <v>未通过／未参加</v>
      </c>
      <c r="Z11" s="30" t="str">
        <f t="shared" si="1"/>
        <v>未通过／未参加</v>
      </c>
    </row>
  </sheetData>
  <sheetProtection algorithmName="SHA-512" hashValue="Nt+VJr9H8ZnvTN3Gz+l7Uc94+ISFrlJF6C6ep24ODvINz1DXM5eW15xRubpdOFjZt67osBu33sRd/HySjFbxQg==" saltValue="KW8fvgZMRGafReMQX9OBEg==" spinCount="100000" sheet="1" selectLockedCells="1"/>
  <mergeCells count="1">
    <mergeCell ref="A1:B1"/>
  </mergeCells>
  <conditionalFormatting sqref="C11:Z11">
    <cfRule type="cellIs" dxfId="38" priority="1" operator="equal">
      <formula>"通过"</formula>
    </cfRule>
    <cfRule type="cellIs" dxfId="37" priority="2" operator="equal">
      <formula>"PASS"</formula>
    </cfRule>
    <cfRule type="cellIs" dxfId="36" priority="3" operator="equal">
      <formula>"FAIL"</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DCDA3-51DE-6648-B3E9-197D10476DAC}">
  <dimension ref="A1:Z4"/>
  <sheetViews>
    <sheetView showGridLines="0" workbookViewId="0">
      <pane xSplit="2" topLeftCell="C1" activePane="topRight" state="frozen"/>
      <selection pane="topRight" activeCell="C3" sqref="C3"/>
    </sheetView>
  </sheetViews>
  <sheetFormatPr baseColWidth="10" defaultColWidth="10.83203125" defaultRowHeight="50" customHeight="1"/>
  <cols>
    <col min="1" max="1" width="63.83203125" style="1" customWidth="1"/>
    <col min="2" max="26" width="20.83203125" style="1" customWidth="1"/>
    <col min="27" max="16384" width="10.83203125" style="1"/>
  </cols>
  <sheetData>
    <row r="1" spans="1:26" ht="50" customHeight="1">
      <c r="A1" s="54" t="s">
        <v>67</v>
      </c>
      <c r="B1" s="54"/>
      <c r="C1" s="28" t="str">
        <f>学员姓名!B2</f>
        <v>学生 1</v>
      </c>
      <c r="D1" s="28" t="str">
        <f>学员姓名!B3</f>
        <v>学生 2</v>
      </c>
      <c r="E1" s="28" t="str">
        <f>学员姓名!B4</f>
        <v>学生 3</v>
      </c>
      <c r="F1" s="28" t="str">
        <f>学员姓名!B5</f>
        <v>学生 4</v>
      </c>
      <c r="G1" s="28" t="str">
        <f>学员姓名!B6</f>
        <v>学生 5</v>
      </c>
      <c r="H1" s="28" t="str">
        <f>学员姓名!B7</f>
        <v>学生 6</v>
      </c>
      <c r="I1" s="28" t="str">
        <f>学员姓名!B8</f>
        <v>学生 7</v>
      </c>
      <c r="J1" s="28" t="str">
        <f>学员姓名!B9</f>
        <v>学生 8</v>
      </c>
      <c r="K1" s="28" t="str">
        <f>学员姓名!B10</f>
        <v>学生 9</v>
      </c>
      <c r="L1" s="28" t="str">
        <f>学员姓名!B11</f>
        <v>学生 10</v>
      </c>
      <c r="M1" s="28" t="str">
        <f>学员姓名!B12</f>
        <v>学生 11</v>
      </c>
      <c r="N1" s="28" t="str">
        <f>学员姓名!B13</f>
        <v>学生 12</v>
      </c>
      <c r="O1" s="28" t="str">
        <f>学员姓名!B14</f>
        <v>学生 13</v>
      </c>
      <c r="P1" s="28" t="str">
        <f>学员姓名!B15</f>
        <v>学生 14</v>
      </c>
      <c r="Q1" s="28" t="str">
        <f>学员姓名!B16</f>
        <v>学生 15</v>
      </c>
      <c r="R1" s="28" t="str">
        <f>学员姓名!B17</f>
        <v>学生 16</v>
      </c>
      <c r="S1" s="28" t="str">
        <f>学员姓名!B18</f>
        <v>学生 17</v>
      </c>
      <c r="T1" s="28" t="str">
        <f>学员姓名!B19</f>
        <v>学生 18</v>
      </c>
      <c r="U1" s="28" t="str">
        <f>学员姓名!B20</f>
        <v>学生 19</v>
      </c>
      <c r="V1" s="28" t="str">
        <f>学员姓名!B21</f>
        <v>学生 20</v>
      </c>
      <c r="W1" s="28" t="str">
        <f>学员姓名!B22</f>
        <v>学生 21</v>
      </c>
      <c r="X1" s="28" t="str">
        <f>学员姓名!B23</f>
        <v>学生 22</v>
      </c>
      <c r="Y1" s="28" t="str">
        <f>学员姓名!B24</f>
        <v>学生 23</v>
      </c>
      <c r="Z1" s="28" t="str">
        <f>学员姓名!B25</f>
        <v>学生 24</v>
      </c>
    </row>
    <row r="2" spans="1:26" ht="30" customHeight="1" thickBot="1">
      <c r="A2" s="37"/>
      <c r="B2" s="16" t="s">
        <v>47</v>
      </c>
      <c r="C2" s="14"/>
      <c r="D2" s="14"/>
      <c r="E2" s="14"/>
      <c r="F2" s="14"/>
      <c r="G2" s="14"/>
      <c r="H2" s="14"/>
      <c r="I2" s="14"/>
      <c r="J2" s="14"/>
      <c r="K2" s="14"/>
      <c r="L2" s="14"/>
      <c r="M2" s="14"/>
      <c r="N2" s="14"/>
      <c r="O2" s="14"/>
      <c r="P2" s="14"/>
      <c r="Q2" s="14"/>
      <c r="R2" s="14"/>
      <c r="S2" s="14"/>
      <c r="T2" s="14"/>
      <c r="U2" s="14"/>
      <c r="V2" s="14"/>
      <c r="W2" s="14"/>
      <c r="X2" s="14"/>
      <c r="Y2" s="14"/>
      <c r="Z2" s="14"/>
    </row>
    <row r="3" spans="1:26" ht="50" customHeight="1" thickBot="1">
      <c r="A3" s="38" t="s">
        <v>63</v>
      </c>
      <c r="B3" s="39">
        <v>10</v>
      </c>
      <c r="C3" s="49"/>
      <c r="D3" s="49"/>
      <c r="E3" s="49"/>
      <c r="F3" s="49"/>
      <c r="G3" s="49"/>
      <c r="H3" s="49"/>
      <c r="I3" s="49"/>
      <c r="J3" s="49"/>
      <c r="K3" s="49"/>
      <c r="L3" s="49"/>
      <c r="M3" s="49"/>
      <c r="N3" s="49"/>
      <c r="O3" s="49"/>
      <c r="P3" s="49"/>
      <c r="Q3" s="49"/>
      <c r="R3" s="49"/>
      <c r="S3" s="49"/>
      <c r="T3" s="49"/>
      <c r="U3" s="49"/>
      <c r="V3" s="49"/>
      <c r="W3" s="49"/>
      <c r="X3" s="49"/>
      <c r="Y3" s="49"/>
      <c r="Z3" s="49"/>
    </row>
    <row r="4" spans="1:26" ht="50" customHeight="1">
      <c r="A4" s="32" t="s">
        <v>64</v>
      </c>
      <c r="B4" s="30">
        <v>8</v>
      </c>
      <c r="C4" s="30" t="str">
        <f>IF(C3&gt;=$B$4,"通过","未通过／未参加")</f>
        <v>未通过／未参加</v>
      </c>
      <c r="D4" s="30" t="str">
        <f t="shared" ref="D4:Z4" si="0">IF(D3&gt;=$B$4,"通过","未通过／未参加")</f>
        <v>未通过／未参加</v>
      </c>
      <c r="E4" s="30" t="str">
        <f t="shared" si="0"/>
        <v>未通过／未参加</v>
      </c>
      <c r="F4" s="30" t="str">
        <f t="shared" si="0"/>
        <v>未通过／未参加</v>
      </c>
      <c r="G4" s="30" t="str">
        <f t="shared" si="0"/>
        <v>未通过／未参加</v>
      </c>
      <c r="H4" s="30" t="str">
        <f t="shared" si="0"/>
        <v>未通过／未参加</v>
      </c>
      <c r="I4" s="30" t="str">
        <f t="shared" si="0"/>
        <v>未通过／未参加</v>
      </c>
      <c r="J4" s="30" t="str">
        <f t="shared" si="0"/>
        <v>未通过／未参加</v>
      </c>
      <c r="K4" s="30" t="str">
        <f t="shared" si="0"/>
        <v>未通过／未参加</v>
      </c>
      <c r="L4" s="30" t="str">
        <f t="shared" si="0"/>
        <v>未通过／未参加</v>
      </c>
      <c r="M4" s="30" t="str">
        <f t="shared" si="0"/>
        <v>未通过／未参加</v>
      </c>
      <c r="N4" s="30" t="str">
        <f t="shared" si="0"/>
        <v>未通过／未参加</v>
      </c>
      <c r="O4" s="30" t="str">
        <f t="shared" si="0"/>
        <v>未通过／未参加</v>
      </c>
      <c r="P4" s="30" t="str">
        <f t="shared" si="0"/>
        <v>未通过／未参加</v>
      </c>
      <c r="Q4" s="30" t="str">
        <f t="shared" si="0"/>
        <v>未通过／未参加</v>
      </c>
      <c r="R4" s="30" t="str">
        <f t="shared" si="0"/>
        <v>未通过／未参加</v>
      </c>
      <c r="S4" s="30" t="str">
        <f t="shared" si="0"/>
        <v>未通过／未参加</v>
      </c>
      <c r="T4" s="30" t="str">
        <f t="shared" si="0"/>
        <v>未通过／未参加</v>
      </c>
      <c r="U4" s="30" t="str">
        <f t="shared" si="0"/>
        <v>未通过／未参加</v>
      </c>
      <c r="V4" s="30" t="str">
        <f t="shared" si="0"/>
        <v>未通过／未参加</v>
      </c>
      <c r="W4" s="30" t="str">
        <f t="shared" si="0"/>
        <v>未通过／未参加</v>
      </c>
      <c r="X4" s="30" t="str">
        <f t="shared" si="0"/>
        <v>未通过／未参加</v>
      </c>
      <c r="Y4" s="30" t="str">
        <f t="shared" si="0"/>
        <v>未通过／未参加</v>
      </c>
      <c r="Z4" s="30" t="str">
        <f t="shared" si="0"/>
        <v>未通过／未参加</v>
      </c>
    </row>
  </sheetData>
  <sheetProtection algorithmName="SHA-512" hashValue="oBHbvg7C1Xww1xiWaBhckWgGJ/3S0V6fElglamgVcbssOHPBNrUNurCQrf6nH5bua1Lfv8SPuJHelH0f4S0UIQ==" saltValue="wMqdsQ2JTGyhYIwJ6kW5aw==" spinCount="100000" sheet="1" selectLockedCells="1"/>
  <mergeCells count="1">
    <mergeCell ref="A1:B1"/>
  </mergeCells>
  <conditionalFormatting sqref="C4:Z4">
    <cfRule type="cellIs" dxfId="35" priority="1" operator="equal">
      <formula>"通过"</formula>
    </cfRule>
    <cfRule type="cellIs" dxfId="34" priority="2" operator="equal">
      <formula>"PASS"</formula>
    </cfRule>
    <cfRule type="cellIs" dxfId="33" priority="3" operator="equal">
      <formula>"FAIL"</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D9D5-47DE-0947-82ED-272814398C0B}">
  <dimension ref="A1:Z4"/>
  <sheetViews>
    <sheetView showGridLines="0" workbookViewId="0">
      <pane xSplit="2" topLeftCell="C1" activePane="topRight" state="frozen"/>
      <selection pane="topRight" activeCell="C3" sqref="C3"/>
    </sheetView>
  </sheetViews>
  <sheetFormatPr baseColWidth="10" defaultColWidth="10.83203125" defaultRowHeight="50" customHeight="1"/>
  <cols>
    <col min="1" max="1" width="63.83203125" style="1" customWidth="1"/>
    <col min="2" max="26" width="20.83203125" style="1" customWidth="1"/>
    <col min="27" max="16384" width="10.83203125" style="1"/>
  </cols>
  <sheetData>
    <row r="1" spans="1:26" ht="50" customHeight="1">
      <c r="A1" s="54" t="s">
        <v>68</v>
      </c>
      <c r="B1" s="54"/>
      <c r="C1" s="28" t="str">
        <f>学员姓名!B2</f>
        <v>学生 1</v>
      </c>
      <c r="D1" s="28" t="str">
        <f>学员姓名!B3</f>
        <v>学生 2</v>
      </c>
      <c r="E1" s="28" t="str">
        <f>学员姓名!B4</f>
        <v>学生 3</v>
      </c>
      <c r="F1" s="28" t="str">
        <f>学员姓名!B5</f>
        <v>学生 4</v>
      </c>
      <c r="G1" s="28" t="str">
        <f>学员姓名!B6</f>
        <v>学生 5</v>
      </c>
      <c r="H1" s="28" t="str">
        <f>学员姓名!B7</f>
        <v>学生 6</v>
      </c>
      <c r="I1" s="28" t="str">
        <f>学员姓名!B8</f>
        <v>学生 7</v>
      </c>
      <c r="J1" s="28" t="str">
        <f>学员姓名!B9</f>
        <v>学生 8</v>
      </c>
      <c r="K1" s="28" t="str">
        <f>学员姓名!B10</f>
        <v>学生 9</v>
      </c>
      <c r="L1" s="28" t="str">
        <f>学员姓名!B11</f>
        <v>学生 10</v>
      </c>
      <c r="M1" s="28" t="str">
        <f>学员姓名!B12</f>
        <v>学生 11</v>
      </c>
      <c r="N1" s="28" t="str">
        <f>学员姓名!B13</f>
        <v>学生 12</v>
      </c>
      <c r="O1" s="28" t="str">
        <f>学员姓名!B14</f>
        <v>学生 13</v>
      </c>
      <c r="P1" s="28" t="str">
        <f>学员姓名!B15</f>
        <v>学生 14</v>
      </c>
      <c r="Q1" s="28" t="str">
        <f>学员姓名!B16</f>
        <v>学生 15</v>
      </c>
      <c r="R1" s="28" t="str">
        <f>学员姓名!B17</f>
        <v>学生 16</v>
      </c>
      <c r="S1" s="28" t="str">
        <f>学员姓名!B18</f>
        <v>学生 17</v>
      </c>
      <c r="T1" s="28" t="str">
        <f>学员姓名!B19</f>
        <v>学生 18</v>
      </c>
      <c r="U1" s="28" t="str">
        <f>学员姓名!B20</f>
        <v>学生 19</v>
      </c>
      <c r="V1" s="28" t="str">
        <f>学员姓名!B21</f>
        <v>学生 20</v>
      </c>
      <c r="W1" s="28" t="str">
        <f>学员姓名!B22</f>
        <v>学生 21</v>
      </c>
      <c r="X1" s="28" t="str">
        <f>学员姓名!B23</f>
        <v>学生 22</v>
      </c>
      <c r="Y1" s="28" t="str">
        <f>学员姓名!B24</f>
        <v>学生 23</v>
      </c>
      <c r="Z1" s="28" t="str">
        <f>学员姓名!B25</f>
        <v>学生 24</v>
      </c>
    </row>
    <row r="2" spans="1:26" ht="30" customHeight="1" thickBot="1">
      <c r="A2" s="37"/>
      <c r="B2" s="16" t="s">
        <v>47</v>
      </c>
      <c r="C2" s="14"/>
      <c r="D2" s="14"/>
      <c r="E2" s="14"/>
      <c r="F2" s="14"/>
      <c r="G2" s="14"/>
      <c r="H2" s="14"/>
      <c r="I2" s="14"/>
      <c r="J2" s="14"/>
      <c r="K2" s="14"/>
      <c r="L2" s="14"/>
      <c r="M2" s="14"/>
      <c r="N2" s="14"/>
      <c r="O2" s="14"/>
      <c r="P2" s="14"/>
      <c r="Q2" s="14"/>
      <c r="R2" s="14"/>
      <c r="S2" s="14"/>
      <c r="T2" s="14"/>
      <c r="U2" s="14"/>
      <c r="V2" s="14"/>
      <c r="W2" s="14"/>
      <c r="X2" s="14"/>
      <c r="Y2" s="14"/>
      <c r="Z2" s="14"/>
    </row>
    <row r="3" spans="1:26" ht="50" customHeight="1" thickBot="1">
      <c r="A3" s="38" t="s">
        <v>63</v>
      </c>
      <c r="B3" s="39">
        <v>10</v>
      </c>
      <c r="C3" s="49"/>
      <c r="D3" s="49"/>
      <c r="E3" s="49"/>
      <c r="F3" s="49"/>
      <c r="G3" s="49"/>
      <c r="H3" s="49"/>
      <c r="I3" s="49"/>
      <c r="J3" s="49"/>
      <c r="K3" s="49"/>
      <c r="L3" s="49"/>
      <c r="M3" s="49"/>
      <c r="N3" s="49"/>
      <c r="O3" s="49"/>
      <c r="P3" s="49"/>
      <c r="Q3" s="49"/>
      <c r="R3" s="49"/>
      <c r="S3" s="49"/>
      <c r="T3" s="49"/>
      <c r="U3" s="49"/>
      <c r="V3" s="49"/>
      <c r="W3" s="49"/>
      <c r="X3" s="49"/>
      <c r="Y3" s="49"/>
      <c r="Z3" s="49"/>
    </row>
    <row r="4" spans="1:26" ht="50" customHeight="1">
      <c r="A4" s="32" t="s">
        <v>64</v>
      </c>
      <c r="B4" s="30">
        <v>8</v>
      </c>
      <c r="C4" s="30" t="str">
        <f>IF(C3&gt;=$B$4,"通过","未通过／未参加")</f>
        <v>未通过／未参加</v>
      </c>
      <c r="D4" s="30" t="str">
        <f t="shared" ref="D4:Z4" si="0">IF(D3&gt;=$B$4,"通过","未通过／未参加")</f>
        <v>未通过／未参加</v>
      </c>
      <c r="E4" s="30" t="str">
        <f t="shared" si="0"/>
        <v>未通过／未参加</v>
      </c>
      <c r="F4" s="30" t="str">
        <f t="shared" si="0"/>
        <v>未通过／未参加</v>
      </c>
      <c r="G4" s="30" t="str">
        <f t="shared" si="0"/>
        <v>未通过／未参加</v>
      </c>
      <c r="H4" s="30" t="str">
        <f t="shared" si="0"/>
        <v>未通过／未参加</v>
      </c>
      <c r="I4" s="30" t="str">
        <f t="shared" si="0"/>
        <v>未通过／未参加</v>
      </c>
      <c r="J4" s="30" t="str">
        <f t="shared" si="0"/>
        <v>未通过／未参加</v>
      </c>
      <c r="K4" s="30" t="str">
        <f t="shared" si="0"/>
        <v>未通过／未参加</v>
      </c>
      <c r="L4" s="30" t="str">
        <f t="shared" si="0"/>
        <v>未通过／未参加</v>
      </c>
      <c r="M4" s="30" t="str">
        <f t="shared" si="0"/>
        <v>未通过／未参加</v>
      </c>
      <c r="N4" s="30" t="str">
        <f t="shared" si="0"/>
        <v>未通过／未参加</v>
      </c>
      <c r="O4" s="30" t="str">
        <f t="shared" si="0"/>
        <v>未通过／未参加</v>
      </c>
      <c r="P4" s="30" t="str">
        <f t="shared" si="0"/>
        <v>未通过／未参加</v>
      </c>
      <c r="Q4" s="30" t="str">
        <f t="shared" si="0"/>
        <v>未通过／未参加</v>
      </c>
      <c r="R4" s="30" t="str">
        <f t="shared" si="0"/>
        <v>未通过／未参加</v>
      </c>
      <c r="S4" s="30" t="str">
        <f t="shared" si="0"/>
        <v>未通过／未参加</v>
      </c>
      <c r="T4" s="30" t="str">
        <f t="shared" si="0"/>
        <v>未通过／未参加</v>
      </c>
      <c r="U4" s="30" t="str">
        <f t="shared" si="0"/>
        <v>未通过／未参加</v>
      </c>
      <c r="V4" s="30" t="str">
        <f t="shared" si="0"/>
        <v>未通过／未参加</v>
      </c>
      <c r="W4" s="30" t="str">
        <f t="shared" si="0"/>
        <v>未通过／未参加</v>
      </c>
      <c r="X4" s="30" t="str">
        <f t="shared" si="0"/>
        <v>未通过／未参加</v>
      </c>
      <c r="Y4" s="30" t="str">
        <f t="shared" si="0"/>
        <v>未通过／未参加</v>
      </c>
      <c r="Z4" s="30" t="str">
        <f t="shared" si="0"/>
        <v>未通过／未参加</v>
      </c>
    </row>
  </sheetData>
  <sheetProtection algorithmName="SHA-512" hashValue="GfZfp/I7JHgwutvyu7vMq+E4KaXZlmdbPwg0yt+eb6f1QSdDr5GePZG5h+GGogG4r/orjLIEXUyqC7/So2isfQ==" saltValue="KtROmAMq+o+VFvjkaCcQpg==" spinCount="100000" sheet="1" selectLockedCells="1"/>
  <mergeCells count="1">
    <mergeCell ref="A1:B1"/>
  </mergeCells>
  <conditionalFormatting sqref="C4:Z4">
    <cfRule type="cellIs" dxfId="32" priority="1" operator="equal">
      <formula>"通过"</formula>
    </cfRule>
    <cfRule type="cellIs" dxfId="31" priority="2" operator="equal">
      <formula>"PASS"</formula>
    </cfRule>
    <cfRule type="cellIs" dxfId="30" priority="3" operator="equal">
      <formula>"FAIL"</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232F7-DE0D-634F-876A-0189CBD9F045}">
  <dimension ref="A1:Z8"/>
  <sheetViews>
    <sheetView showGridLines="0" workbookViewId="0">
      <pane xSplit="2" topLeftCell="C1" activePane="topRight" state="frozen"/>
      <selection pane="topRight" activeCell="C3" sqref="C3"/>
    </sheetView>
  </sheetViews>
  <sheetFormatPr baseColWidth="10" defaultColWidth="10.83203125" defaultRowHeight="50" customHeight="1"/>
  <cols>
    <col min="1" max="1" width="63.83203125" style="1" customWidth="1"/>
    <col min="2" max="26" width="20.83203125" style="1" customWidth="1"/>
    <col min="27" max="16384" width="10.83203125" style="1"/>
  </cols>
  <sheetData>
    <row r="1" spans="1:26" ht="50" customHeight="1">
      <c r="A1" s="54" t="s">
        <v>69</v>
      </c>
      <c r="B1" s="54"/>
      <c r="C1" s="28" t="str">
        <f>学员姓名!B2</f>
        <v>学生 1</v>
      </c>
      <c r="D1" s="28" t="str">
        <f>学员姓名!B3</f>
        <v>学生 2</v>
      </c>
      <c r="E1" s="28" t="str">
        <f>学员姓名!B4</f>
        <v>学生 3</v>
      </c>
      <c r="F1" s="28" t="str">
        <f>学员姓名!B5</f>
        <v>学生 4</v>
      </c>
      <c r="G1" s="28" t="str">
        <f>学员姓名!B6</f>
        <v>学生 5</v>
      </c>
      <c r="H1" s="28" t="str">
        <f>学员姓名!B7</f>
        <v>学生 6</v>
      </c>
      <c r="I1" s="28" t="str">
        <f>学员姓名!B8</f>
        <v>学生 7</v>
      </c>
      <c r="J1" s="28" t="str">
        <f>学员姓名!B9</f>
        <v>学生 8</v>
      </c>
      <c r="K1" s="28" t="str">
        <f>学员姓名!B10</f>
        <v>学生 9</v>
      </c>
      <c r="L1" s="28" t="str">
        <f>学员姓名!B11</f>
        <v>学生 10</v>
      </c>
      <c r="M1" s="28" t="str">
        <f>学员姓名!B12</f>
        <v>学生 11</v>
      </c>
      <c r="N1" s="28" t="str">
        <f>学员姓名!B13</f>
        <v>学生 12</v>
      </c>
      <c r="O1" s="28" t="str">
        <f>学员姓名!B14</f>
        <v>学生 13</v>
      </c>
      <c r="P1" s="28" t="str">
        <f>学员姓名!B15</f>
        <v>学生 14</v>
      </c>
      <c r="Q1" s="28" t="str">
        <f>学员姓名!B16</f>
        <v>学生 15</v>
      </c>
      <c r="R1" s="28" t="str">
        <f>学员姓名!B17</f>
        <v>学生 16</v>
      </c>
      <c r="S1" s="28" t="str">
        <f>学员姓名!B18</f>
        <v>学生 17</v>
      </c>
      <c r="T1" s="28" t="str">
        <f>学员姓名!B19</f>
        <v>学生 18</v>
      </c>
      <c r="U1" s="28" t="str">
        <f>学员姓名!B20</f>
        <v>学生 19</v>
      </c>
      <c r="V1" s="28" t="str">
        <f>学员姓名!B21</f>
        <v>学生 20</v>
      </c>
      <c r="W1" s="28" t="str">
        <f>学员姓名!B22</f>
        <v>学生 21</v>
      </c>
      <c r="X1" s="28" t="str">
        <f>学员姓名!B23</f>
        <v>学生 22</v>
      </c>
      <c r="Y1" s="28" t="str">
        <f>学员姓名!B24</f>
        <v>学生 23</v>
      </c>
      <c r="Z1" s="28" t="str">
        <f>学员姓名!B25</f>
        <v>学生 24</v>
      </c>
    </row>
    <row r="2" spans="1:26" ht="30" customHeight="1" thickBot="1">
      <c r="A2" s="15" t="s">
        <v>46</v>
      </c>
      <c r="B2" s="16" t="s">
        <v>47</v>
      </c>
      <c r="C2" s="40"/>
      <c r="D2" s="40"/>
      <c r="E2" s="40"/>
      <c r="F2" s="40"/>
      <c r="G2" s="40"/>
      <c r="H2" s="40"/>
      <c r="I2" s="40"/>
      <c r="J2" s="40"/>
      <c r="K2" s="40"/>
      <c r="L2" s="40"/>
      <c r="M2" s="40"/>
      <c r="N2" s="40"/>
      <c r="O2" s="40"/>
      <c r="P2" s="40"/>
      <c r="Q2" s="40"/>
      <c r="R2" s="40"/>
      <c r="S2" s="40"/>
      <c r="T2" s="40"/>
      <c r="U2" s="40"/>
      <c r="V2" s="40"/>
      <c r="W2" s="40"/>
      <c r="X2" s="40"/>
      <c r="Y2" s="40"/>
      <c r="Z2" s="40"/>
    </row>
    <row r="3" spans="1:26" ht="50" customHeight="1">
      <c r="A3" s="36" t="s">
        <v>79</v>
      </c>
      <c r="B3" s="30">
        <v>6</v>
      </c>
      <c r="C3" s="35"/>
      <c r="D3" s="35"/>
      <c r="E3" s="35"/>
      <c r="F3" s="35"/>
      <c r="G3" s="35"/>
      <c r="H3" s="35"/>
      <c r="I3" s="35"/>
      <c r="J3" s="35"/>
      <c r="K3" s="35"/>
      <c r="L3" s="35"/>
      <c r="M3" s="35"/>
      <c r="N3" s="35"/>
      <c r="O3" s="35"/>
      <c r="P3" s="35"/>
      <c r="Q3" s="35"/>
      <c r="R3" s="35"/>
      <c r="S3" s="35"/>
      <c r="T3" s="35"/>
      <c r="U3" s="35"/>
      <c r="V3" s="35"/>
      <c r="W3" s="35"/>
      <c r="X3" s="35"/>
      <c r="Y3" s="35"/>
      <c r="Z3" s="35"/>
    </row>
    <row r="4" spans="1:26" ht="50" customHeight="1">
      <c r="A4" s="27" t="s">
        <v>80</v>
      </c>
      <c r="B4" s="10">
        <v>8</v>
      </c>
      <c r="C4" s="35"/>
      <c r="D4" s="35"/>
      <c r="E4" s="35"/>
      <c r="F4" s="35"/>
      <c r="G4" s="35"/>
      <c r="H4" s="35"/>
      <c r="I4" s="35"/>
      <c r="J4" s="35"/>
      <c r="K4" s="35"/>
      <c r="L4" s="35"/>
      <c r="M4" s="35"/>
      <c r="N4" s="35"/>
      <c r="O4" s="35"/>
      <c r="P4" s="35"/>
      <c r="Q4" s="35"/>
      <c r="R4" s="35"/>
      <c r="S4" s="35"/>
      <c r="T4" s="35"/>
      <c r="U4" s="35"/>
      <c r="V4" s="35"/>
      <c r="W4" s="35"/>
      <c r="X4" s="35"/>
      <c r="Y4" s="35"/>
      <c r="Z4" s="35"/>
    </row>
    <row r="5" spans="1:26" ht="50" customHeight="1">
      <c r="A5" s="27" t="s">
        <v>81</v>
      </c>
      <c r="B5" s="10">
        <v>18</v>
      </c>
      <c r="C5" s="35"/>
      <c r="D5" s="35"/>
      <c r="E5" s="35"/>
      <c r="F5" s="35"/>
      <c r="G5" s="35"/>
      <c r="H5" s="35"/>
      <c r="I5" s="35"/>
      <c r="J5" s="35"/>
      <c r="K5" s="35"/>
      <c r="L5" s="35"/>
      <c r="M5" s="35"/>
      <c r="N5" s="35"/>
      <c r="O5" s="35"/>
      <c r="P5" s="35"/>
      <c r="Q5" s="35"/>
      <c r="R5" s="35"/>
      <c r="S5" s="35"/>
      <c r="T5" s="35"/>
      <c r="U5" s="35"/>
      <c r="V5" s="35"/>
      <c r="W5" s="35"/>
      <c r="X5" s="35"/>
      <c r="Y5" s="35"/>
      <c r="Z5" s="35"/>
    </row>
    <row r="6" spans="1:26" ht="50" customHeight="1">
      <c r="A6" s="27" t="s">
        <v>82</v>
      </c>
      <c r="B6" s="10">
        <v>18</v>
      </c>
      <c r="C6" s="35"/>
      <c r="D6" s="35"/>
      <c r="E6" s="35"/>
      <c r="F6" s="35"/>
      <c r="G6" s="35"/>
      <c r="H6" s="35"/>
      <c r="I6" s="35"/>
      <c r="J6" s="35"/>
      <c r="K6" s="35"/>
      <c r="L6" s="35"/>
      <c r="M6" s="35"/>
      <c r="N6" s="35"/>
      <c r="O6" s="35"/>
      <c r="P6" s="35"/>
      <c r="Q6" s="35"/>
      <c r="R6" s="35"/>
      <c r="S6" s="35"/>
      <c r="T6" s="35"/>
      <c r="U6" s="35"/>
      <c r="V6" s="35"/>
      <c r="W6" s="35"/>
      <c r="X6" s="35"/>
      <c r="Y6" s="35"/>
      <c r="Z6" s="35"/>
    </row>
    <row r="7" spans="1:26" ht="50" customHeight="1" thickBot="1">
      <c r="A7" s="38" t="s">
        <v>63</v>
      </c>
      <c r="B7" s="31">
        <v>50</v>
      </c>
      <c r="C7" s="31">
        <f>SUM(C3:C6)</f>
        <v>0</v>
      </c>
      <c r="D7" s="31">
        <f>SUM(D3:D6)</f>
        <v>0</v>
      </c>
      <c r="E7" s="31">
        <f t="shared" ref="E7:Z7" si="0">SUM(E3:E6)</f>
        <v>0</v>
      </c>
      <c r="F7" s="31">
        <f t="shared" si="0"/>
        <v>0</v>
      </c>
      <c r="G7" s="31">
        <f t="shared" si="0"/>
        <v>0</v>
      </c>
      <c r="H7" s="31">
        <f t="shared" si="0"/>
        <v>0</v>
      </c>
      <c r="I7" s="31">
        <f t="shared" si="0"/>
        <v>0</v>
      </c>
      <c r="J7" s="31">
        <f t="shared" si="0"/>
        <v>0</v>
      </c>
      <c r="K7" s="31">
        <f t="shared" si="0"/>
        <v>0</v>
      </c>
      <c r="L7" s="31">
        <f t="shared" si="0"/>
        <v>0</v>
      </c>
      <c r="M7" s="31">
        <f t="shared" si="0"/>
        <v>0</v>
      </c>
      <c r="N7" s="31">
        <f t="shared" si="0"/>
        <v>0</v>
      </c>
      <c r="O7" s="31">
        <f t="shared" si="0"/>
        <v>0</v>
      </c>
      <c r="P7" s="31">
        <f t="shared" si="0"/>
        <v>0</v>
      </c>
      <c r="Q7" s="31">
        <f t="shared" si="0"/>
        <v>0</v>
      </c>
      <c r="R7" s="31">
        <f t="shared" si="0"/>
        <v>0</v>
      </c>
      <c r="S7" s="31">
        <f t="shared" si="0"/>
        <v>0</v>
      </c>
      <c r="T7" s="31">
        <f t="shared" si="0"/>
        <v>0</v>
      </c>
      <c r="U7" s="31">
        <f t="shared" si="0"/>
        <v>0</v>
      </c>
      <c r="V7" s="31">
        <f t="shared" si="0"/>
        <v>0</v>
      </c>
      <c r="W7" s="31">
        <f t="shared" si="0"/>
        <v>0</v>
      </c>
      <c r="X7" s="31">
        <f t="shared" si="0"/>
        <v>0</v>
      </c>
      <c r="Y7" s="31">
        <f t="shared" si="0"/>
        <v>0</v>
      </c>
      <c r="Z7" s="31">
        <f t="shared" si="0"/>
        <v>0</v>
      </c>
    </row>
    <row r="8" spans="1:26" ht="50" customHeight="1">
      <c r="A8" s="32" t="s">
        <v>64</v>
      </c>
      <c r="B8" s="30">
        <v>40</v>
      </c>
      <c r="C8" s="30" t="str">
        <f>IF(C7&gt;=$B$8,"通过","未通过／未参加")</f>
        <v>未通过／未参加</v>
      </c>
      <c r="D8" s="30" t="str">
        <f t="shared" ref="D8:Z8" si="1">IF(D7&gt;=$B$8,"通过","未通过／未参加")</f>
        <v>未通过／未参加</v>
      </c>
      <c r="E8" s="30" t="str">
        <f t="shared" si="1"/>
        <v>未通过／未参加</v>
      </c>
      <c r="F8" s="30" t="str">
        <f t="shared" si="1"/>
        <v>未通过／未参加</v>
      </c>
      <c r="G8" s="30" t="str">
        <f t="shared" si="1"/>
        <v>未通过／未参加</v>
      </c>
      <c r="H8" s="30" t="str">
        <f t="shared" si="1"/>
        <v>未通过／未参加</v>
      </c>
      <c r="I8" s="30" t="str">
        <f t="shared" si="1"/>
        <v>未通过／未参加</v>
      </c>
      <c r="J8" s="30" t="str">
        <f t="shared" si="1"/>
        <v>未通过／未参加</v>
      </c>
      <c r="K8" s="30" t="str">
        <f t="shared" si="1"/>
        <v>未通过／未参加</v>
      </c>
      <c r="L8" s="30" t="str">
        <f t="shared" si="1"/>
        <v>未通过／未参加</v>
      </c>
      <c r="M8" s="30" t="str">
        <f t="shared" si="1"/>
        <v>未通过／未参加</v>
      </c>
      <c r="N8" s="30" t="str">
        <f t="shared" si="1"/>
        <v>未通过／未参加</v>
      </c>
      <c r="O8" s="30" t="str">
        <f t="shared" si="1"/>
        <v>未通过／未参加</v>
      </c>
      <c r="P8" s="30" t="str">
        <f t="shared" si="1"/>
        <v>未通过／未参加</v>
      </c>
      <c r="Q8" s="30" t="str">
        <f t="shared" si="1"/>
        <v>未通过／未参加</v>
      </c>
      <c r="R8" s="30" t="str">
        <f t="shared" si="1"/>
        <v>未通过／未参加</v>
      </c>
      <c r="S8" s="30" t="str">
        <f t="shared" si="1"/>
        <v>未通过／未参加</v>
      </c>
      <c r="T8" s="30" t="str">
        <f t="shared" si="1"/>
        <v>未通过／未参加</v>
      </c>
      <c r="U8" s="30" t="str">
        <f t="shared" si="1"/>
        <v>未通过／未参加</v>
      </c>
      <c r="V8" s="30" t="str">
        <f t="shared" si="1"/>
        <v>未通过／未参加</v>
      </c>
      <c r="W8" s="30" t="str">
        <f t="shared" si="1"/>
        <v>未通过／未参加</v>
      </c>
      <c r="X8" s="30" t="str">
        <f t="shared" si="1"/>
        <v>未通过／未参加</v>
      </c>
      <c r="Y8" s="30" t="str">
        <f t="shared" si="1"/>
        <v>未通过／未参加</v>
      </c>
      <c r="Z8" s="30" t="str">
        <f t="shared" si="1"/>
        <v>未通过／未参加</v>
      </c>
    </row>
  </sheetData>
  <sheetProtection algorithmName="SHA-512" hashValue="SHeXSrCyS2X9+HB1Lp0ApltQFD3brQlrbrqeBVcMWW6J55a955cy0tX5DTE9UCMDYW54v4Ib9n1sYOAvag5oaw==" saltValue="HJm985/IQVtbgsBtF+kmRw==" spinCount="100000" sheet="1" selectLockedCells="1"/>
  <mergeCells count="1">
    <mergeCell ref="A1:B1"/>
  </mergeCells>
  <conditionalFormatting sqref="C8:Z8">
    <cfRule type="cellIs" dxfId="29" priority="1" operator="equal">
      <formula>"通过"</formula>
    </cfRule>
    <cfRule type="cellIs" dxfId="28" priority="2" operator="equal">
      <formula>"PASS"</formula>
    </cfRule>
    <cfRule type="cellIs" dxfId="27" priority="3" operator="equal">
      <formula>"FAIL"</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97E4-325A-FB40-8372-20A5121EF3A5}">
  <dimension ref="A1:Z8"/>
  <sheetViews>
    <sheetView showGridLines="0" workbookViewId="0">
      <pane xSplit="2" topLeftCell="C1" activePane="topRight" state="frozen"/>
      <selection pane="topRight" activeCell="C3" sqref="C3"/>
    </sheetView>
  </sheetViews>
  <sheetFormatPr baseColWidth="10" defaultColWidth="10.83203125" defaultRowHeight="50" customHeight="1"/>
  <cols>
    <col min="1" max="1" width="63.83203125" style="1" customWidth="1"/>
    <col min="2" max="26" width="20.83203125" style="1" customWidth="1"/>
    <col min="27" max="16384" width="10.83203125" style="1"/>
  </cols>
  <sheetData>
    <row r="1" spans="1:26" ht="50" customHeight="1">
      <c r="A1" s="54" t="s">
        <v>70</v>
      </c>
      <c r="B1" s="54"/>
      <c r="C1" s="28" t="str">
        <f>学员姓名!B2</f>
        <v>学生 1</v>
      </c>
      <c r="D1" s="28" t="str">
        <f>学员姓名!B3</f>
        <v>学生 2</v>
      </c>
      <c r="E1" s="28" t="str">
        <f>学员姓名!B4</f>
        <v>学生 3</v>
      </c>
      <c r="F1" s="28" t="str">
        <f>学员姓名!B5</f>
        <v>学生 4</v>
      </c>
      <c r="G1" s="28" t="str">
        <f>学员姓名!B6</f>
        <v>学生 5</v>
      </c>
      <c r="H1" s="28" t="str">
        <f>学员姓名!B7</f>
        <v>学生 6</v>
      </c>
      <c r="I1" s="28" t="str">
        <f>学员姓名!B8</f>
        <v>学生 7</v>
      </c>
      <c r="J1" s="28" t="str">
        <f>学员姓名!B9</f>
        <v>学生 8</v>
      </c>
      <c r="K1" s="28" t="str">
        <f>学员姓名!B10</f>
        <v>学生 9</v>
      </c>
      <c r="L1" s="28" t="str">
        <f>学员姓名!B11</f>
        <v>学生 10</v>
      </c>
      <c r="M1" s="28" t="str">
        <f>学员姓名!B12</f>
        <v>学生 11</v>
      </c>
      <c r="N1" s="28" t="str">
        <f>学员姓名!B13</f>
        <v>学生 12</v>
      </c>
      <c r="O1" s="28" t="str">
        <f>学员姓名!B14</f>
        <v>学生 13</v>
      </c>
      <c r="P1" s="28" t="str">
        <f>学员姓名!B15</f>
        <v>学生 14</v>
      </c>
      <c r="Q1" s="28" t="str">
        <f>学员姓名!B16</f>
        <v>学生 15</v>
      </c>
      <c r="R1" s="28" t="str">
        <f>学员姓名!B17</f>
        <v>学生 16</v>
      </c>
      <c r="S1" s="28" t="str">
        <f>学员姓名!B18</f>
        <v>学生 17</v>
      </c>
      <c r="T1" s="28" t="str">
        <f>学员姓名!B19</f>
        <v>学生 18</v>
      </c>
      <c r="U1" s="28" t="str">
        <f>学员姓名!B20</f>
        <v>学生 19</v>
      </c>
      <c r="V1" s="28" t="str">
        <f>学员姓名!B21</f>
        <v>学生 20</v>
      </c>
      <c r="W1" s="28" t="str">
        <f>学员姓名!B22</f>
        <v>学生 21</v>
      </c>
      <c r="X1" s="28" t="str">
        <f>学员姓名!B23</f>
        <v>学生 22</v>
      </c>
      <c r="Y1" s="28" t="str">
        <f>学员姓名!B24</f>
        <v>学生 23</v>
      </c>
      <c r="Z1" s="28" t="str">
        <f>学员姓名!B25</f>
        <v>学生 24</v>
      </c>
    </row>
    <row r="2" spans="1:26" ht="30" customHeight="1" thickBot="1">
      <c r="A2" s="15" t="s">
        <v>46</v>
      </c>
      <c r="B2" s="16" t="s">
        <v>47</v>
      </c>
      <c r="C2" s="14"/>
      <c r="D2" s="14"/>
      <c r="E2" s="14"/>
      <c r="F2" s="14"/>
      <c r="G2" s="14"/>
      <c r="H2" s="14"/>
      <c r="I2" s="14"/>
      <c r="J2" s="14"/>
      <c r="K2" s="14"/>
      <c r="L2" s="14"/>
      <c r="M2" s="14"/>
      <c r="N2" s="14"/>
      <c r="O2" s="14"/>
      <c r="P2" s="14"/>
      <c r="Q2" s="14"/>
      <c r="R2" s="14"/>
      <c r="S2" s="14"/>
      <c r="T2" s="14"/>
      <c r="U2" s="14"/>
      <c r="V2" s="14"/>
      <c r="W2" s="14"/>
      <c r="X2" s="14"/>
      <c r="Y2" s="14"/>
      <c r="Z2" s="14"/>
    </row>
    <row r="3" spans="1:26" ht="50" customHeight="1">
      <c r="A3" s="36" t="s">
        <v>79</v>
      </c>
      <c r="B3" s="30">
        <v>6</v>
      </c>
      <c r="C3" s="35"/>
      <c r="D3" s="35"/>
      <c r="E3" s="35"/>
      <c r="F3" s="35"/>
      <c r="G3" s="35"/>
      <c r="H3" s="35"/>
      <c r="I3" s="35"/>
      <c r="J3" s="35"/>
      <c r="K3" s="35"/>
      <c r="L3" s="35"/>
      <c r="M3" s="35"/>
      <c r="N3" s="35"/>
      <c r="O3" s="35"/>
      <c r="P3" s="35"/>
      <c r="Q3" s="35"/>
      <c r="R3" s="35"/>
      <c r="S3" s="35"/>
      <c r="T3" s="35"/>
      <c r="U3" s="35"/>
      <c r="V3" s="35"/>
      <c r="W3" s="35"/>
      <c r="X3" s="35"/>
      <c r="Y3" s="35"/>
      <c r="Z3" s="35"/>
    </row>
    <row r="4" spans="1:26" ht="50" customHeight="1">
      <c r="A4" s="27" t="s">
        <v>80</v>
      </c>
      <c r="B4" s="10">
        <v>8</v>
      </c>
      <c r="C4" s="35"/>
      <c r="D4" s="35"/>
      <c r="E4" s="35"/>
      <c r="F4" s="35"/>
      <c r="G4" s="35"/>
      <c r="H4" s="35"/>
      <c r="I4" s="35"/>
      <c r="J4" s="35"/>
      <c r="K4" s="35"/>
      <c r="L4" s="35"/>
      <c r="M4" s="35"/>
      <c r="N4" s="35"/>
      <c r="O4" s="35"/>
      <c r="P4" s="35"/>
      <c r="Q4" s="35"/>
      <c r="R4" s="35"/>
      <c r="S4" s="35"/>
      <c r="T4" s="35"/>
      <c r="U4" s="35"/>
      <c r="V4" s="35"/>
      <c r="W4" s="35"/>
      <c r="X4" s="35"/>
      <c r="Y4" s="35"/>
      <c r="Z4" s="35"/>
    </row>
    <row r="5" spans="1:26" ht="50" customHeight="1">
      <c r="A5" s="27" t="s">
        <v>81</v>
      </c>
      <c r="B5" s="10">
        <v>18</v>
      </c>
      <c r="C5" s="35"/>
      <c r="D5" s="35"/>
      <c r="E5" s="35"/>
      <c r="F5" s="35"/>
      <c r="G5" s="35"/>
      <c r="H5" s="35"/>
      <c r="I5" s="35"/>
      <c r="J5" s="35"/>
      <c r="K5" s="35"/>
      <c r="L5" s="35"/>
      <c r="M5" s="35"/>
      <c r="N5" s="35"/>
      <c r="O5" s="35"/>
      <c r="P5" s="35"/>
      <c r="Q5" s="35"/>
      <c r="R5" s="35"/>
      <c r="S5" s="35"/>
      <c r="T5" s="35"/>
      <c r="U5" s="35"/>
      <c r="V5" s="35"/>
      <c r="W5" s="35"/>
      <c r="X5" s="35"/>
      <c r="Y5" s="35"/>
      <c r="Z5" s="35"/>
    </row>
    <row r="6" spans="1:26" ht="50" customHeight="1">
      <c r="A6" s="27" t="s">
        <v>82</v>
      </c>
      <c r="B6" s="10">
        <v>18</v>
      </c>
      <c r="C6" s="35"/>
      <c r="D6" s="35"/>
      <c r="E6" s="35"/>
      <c r="F6" s="35"/>
      <c r="G6" s="35"/>
      <c r="H6" s="35"/>
      <c r="I6" s="35"/>
      <c r="J6" s="35"/>
      <c r="K6" s="35"/>
      <c r="L6" s="35"/>
      <c r="M6" s="35"/>
      <c r="N6" s="35"/>
      <c r="O6" s="35"/>
      <c r="P6" s="35"/>
      <c r="Q6" s="35"/>
      <c r="R6" s="35"/>
      <c r="S6" s="35"/>
      <c r="T6" s="35"/>
      <c r="U6" s="35"/>
      <c r="V6" s="35"/>
      <c r="W6" s="35"/>
      <c r="X6" s="35"/>
      <c r="Y6" s="35"/>
      <c r="Z6" s="35"/>
    </row>
    <row r="7" spans="1:26" ht="50" customHeight="1" thickBot="1">
      <c r="A7" s="38" t="s">
        <v>63</v>
      </c>
      <c r="B7" s="31">
        <v>50</v>
      </c>
      <c r="C7" s="31">
        <f>SUM(C3:C6)</f>
        <v>0</v>
      </c>
      <c r="D7" s="31">
        <f>SUM(D3:D6)</f>
        <v>0</v>
      </c>
      <c r="E7" s="31">
        <f t="shared" ref="E7:Z7" si="0">SUM(E3:E6)</f>
        <v>0</v>
      </c>
      <c r="F7" s="31">
        <f t="shared" si="0"/>
        <v>0</v>
      </c>
      <c r="G7" s="31">
        <f t="shared" si="0"/>
        <v>0</v>
      </c>
      <c r="H7" s="31">
        <f t="shared" si="0"/>
        <v>0</v>
      </c>
      <c r="I7" s="31">
        <f t="shared" si="0"/>
        <v>0</v>
      </c>
      <c r="J7" s="31">
        <f t="shared" si="0"/>
        <v>0</v>
      </c>
      <c r="K7" s="31">
        <f t="shared" si="0"/>
        <v>0</v>
      </c>
      <c r="L7" s="31">
        <f t="shared" si="0"/>
        <v>0</v>
      </c>
      <c r="M7" s="31">
        <f t="shared" si="0"/>
        <v>0</v>
      </c>
      <c r="N7" s="31">
        <f t="shared" si="0"/>
        <v>0</v>
      </c>
      <c r="O7" s="31">
        <f t="shared" si="0"/>
        <v>0</v>
      </c>
      <c r="P7" s="31">
        <f t="shared" si="0"/>
        <v>0</v>
      </c>
      <c r="Q7" s="31">
        <f t="shared" si="0"/>
        <v>0</v>
      </c>
      <c r="R7" s="31">
        <f t="shared" si="0"/>
        <v>0</v>
      </c>
      <c r="S7" s="31">
        <f t="shared" si="0"/>
        <v>0</v>
      </c>
      <c r="T7" s="31">
        <f t="shared" si="0"/>
        <v>0</v>
      </c>
      <c r="U7" s="31">
        <f t="shared" si="0"/>
        <v>0</v>
      </c>
      <c r="V7" s="31">
        <f t="shared" si="0"/>
        <v>0</v>
      </c>
      <c r="W7" s="31">
        <f t="shared" si="0"/>
        <v>0</v>
      </c>
      <c r="X7" s="31">
        <f t="shared" si="0"/>
        <v>0</v>
      </c>
      <c r="Y7" s="31">
        <f t="shared" si="0"/>
        <v>0</v>
      </c>
      <c r="Z7" s="31">
        <f t="shared" si="0"/>
        <v>0</v>
      </c>
    </row>
    <row r="8" spans="1:26" ht="50" customHeight="1">
      <c r="A8" s="32" t="s">
        <v>64</v>
      </c>
      <c r="B8" s="30">
        <v>40</v>
      </c>
      <c r="C8" s="30" t="str">
        <f>IF(C7&gt;=$B$8,"通过","未通过／未参加")</f>
        <v>未通过／未参加</v>
      </c>
      <c r="D8" s="30" t="str">
        <f t="shared" ref="D8:Z8" si="1">IF(D7&gt;=$B$8,"通过","未通过／未参加")</f>
        <v>未通过／未参加</v>
      </c>
      <c r="E8" s="30" t="str">
        <f t="shared" si="1"/>
        <v>未通过／未参加</v>
      </c>
      <c r="F8" s="30" t="str">
        <f t="shared" si="1"/>
        <v>未通过／未参加</v>
      </c>
      <c r="G8" s="30" t="str">
        <f t="shared" si="1"/>
        <v>未通过／未参加</v>
      </c>
      <c r="H8" s="30" t="str">
        <f t="shared" si="1"/>
        <v>未通过／未参加</v>
      </c>
      <c r="I8" s="30" t="str">
        <f t="shared" si="1"/>
        <v>未通过／未参加</v>
      </c>
      <c r="J8" s="30" t="str">
        <f t="shared" si="1"/>
        <v>未通过／未参加</v>
      </c>
      <c r="K8" s="30" t="str">
        <f t="shared" si="1"/>
        <v>未通过／未参加</v>
      </c>
      <c r="L8" s="30" t="str">
        <f t="shared" si="1"/>
        <v>未通过／未参加</v>
      </c>
      <c r="M8" s="30" t="str">
        <f t="shared" si="1"/>
        <v>未通过／未参加</v>
      </c>
      <c r="N8" s="30" t="str">
        <f t="shared" si="1"/>
        <v>未通过／未参加</v>
      </c>
      <c r="O8" s="30" t="str">
        <f t="shared" si="1"/>
        <v>未通过／未参加</v>
      </c>
      <c r="P8" s="30" t="str">
        <f t="shared" si="1"/>
        <v>未通过／未参加</v>
      </c>
      <c r="Q8" s="30" t="str">
        <f t="shared" si="1"/>
        <v>未通过／未参加</v>
      </c>
      <c r="R8" s="30" t="str">
        <f t="shared" si="1"/>
        <v>未通过／未参加</v>
      </c>
      <c r="S8" s="30" t="str">
        <f t="shared" si="1"/>
        <v>未通过／未参加</v>
      </c>
      <c r="T8" s="30" t="str">
        <f t="shared" si="1"/>
        <v>未通过／未参加</v>
      </c>
      <c r="U8" s="30" t="str">
        <f t="shared" si="1"/>
        <v>未通过／未参加</v>
      </c>
      <c r="V8" s="30" t="str">
        <f t="shared" si="1"/>
        <v>未通过／未参加</v>
      </c>
      <c r="W8" s="30" t="str">
        <f t="shared" si="1"/>
        <v>未通过／未参加</v>
      </c>
      <c r="X8" s="30" t="str">
        <f t="shared" si="1"/>
        <v>未通过／未参加</v>
      </c>
      <c r="Y8" s="30" t="str">
        <f t="shared" si="1"/>
        <v>未通过／未参加</v>
      </c>
      <c r="Z8" s="30" t="str">
        <f t="shared" si="1"/>
        <v>未通过／未参加</v>
      </c>
    </row>
  </sheetData>
  <sheetProtection algorithmName="SHA-512" hashValue="A+JB1tuJZ1AzrZUopIvco78Kk0qpeE4M6GwkvA7+Tgw30pQPsvB5vUs2XToDccIksgLQmq6GIJ25n/UBWETTzA==" saltValue="D+4auopxbZXg3EO3lNosiQ==" spinCount="100000" sheet="1" selectLockedCells="1"/>
  <mergeCells count="1">
    <mergeCell ref="A1:B1"/>
  </mergeCells>
  <conditionalFormatting sqref="C8:Z8">
    <cfRule type="cellIs" dxfId="26" priority="1" operator="equal">
      <formula>"通过"</formula>
    </cfRule>
    <cfRule type="cellIs" dxfId="25" priority="2" operator="equal">
      <formula>"PASS"</formula>
    </cfRule>
    <cfRule type="cellIs" dxfId="24" priority="3" operator="equal">
      <formula>"FAIL"</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7D16A-2704-3B4E-BD99-94DFEC607199}">
  <dimension ref="A1:Z4"/>
  <sheetViews>
    <sheetView showGridLines="0" workbookViewId="0">
      <pane xSplit="2" topLeftCell="C1" activePane="topRight" state="frozen"/>
      <selection pane="topRight" activeCell="D3" sqref="D3"/>
    </sheetView>
  </sheetViews>
  <sheetFormatPr baseColWidth="10" defaultColWidth="10.83203125" defaultRowHeight="50" customHeight="1"/>
  <cols>
    <col min="1" max="1" width="63.83203125" style="1" customWidth="1"/>
    <col min="2" max="26" width="20.83203125" style="1" customWidth="1"/>
    <col min="27" max="16384" width="10.83203125" style="1"/>
  </cols>
  <sheetData>
    <row r="1" spans="1:26" ht="50" customHeight="1">
      <c r="A1" s="54" t="s">
        <v>71</v>
      </c>
      <c r="B1" s="54"/>
      <c r="C1" s="27" t="str">
        <f>学员姓名!B2</f>
        <v>学生 1</v>
      </c>
      <c r="D1" s="27" t="str">
        <f>学员姓名!B3</f>
        <v>学生 2</v>
      </c>
      <c r="E1" s="27" t="str">
        <f>学员姓名!B4</f>
        <v>学生 3</v>
      </c>
      <c r="F1" s="28" t="str">
        <f>学员姓名!B5</f>
        <v>学生 4</v>
      </c>
      <c r="G1" s="28" t="str">
        <f>学员姓名!B6</f>
        <v>学生 5</v>
      </c>
      <c r="H1" s="28" t="str">
        <f>学员姓名!B7</f>
        <v>学生 6</v>
      </c>
      <c r="I1" s="28" t="str">
        <f>学员姓名!B8</f>
        <v>学生 7</v>
      </c>
      <c r="J1" s="28" t="str">
        <f>学员姓名!B9</f>
        <v>学生 8</v>
      </c>
      <c r="K1" s="28" t="str">
        <f>学员姓名!B10</f>
        <v>学生 9</v>
      </c>
      <c r="L1" s="28" t="str">
        <f>学员姓名!B11</f>
        <v>学生 10</v>
      </c>
      <c r="M1" s="28" t="str">
        <f>学员姓名!B12</f>
        <v>学生 11</v>
      </c>
      <c r="N1" s="28" t="str">
        <f>学员姓名!B13</f>
        <v>学生 12</v>
      </c>
      <c r="O1" s="28" t="str">
        <f>学员姓名!B14</f>
        <v>学生 13</v>
      </c>
      <c r="P1" s="28" t="str">
        <f>学员姓名!B15</f>
        <v>学生 14</v>
      </c>
      <c r="Q1" s="28" t="str">
        <f>学员姓名!B16</f>
        <v>学生 15</v>
      </c>
      <c r="R1" s="28" t="str">
        <f>学员姓名!B17</f>
        <v>学生 16</v>
      </c>
      <c r="S1" s="28" t="str">
        <f>学员姓名!B18</f>
        <v>学生 17</v>
      </c>
      <c r="T1" s="28" t="str">
        <f>学员姓名!B19</f>
        <v>学生 18</v>
      </c>
      <c r="U1" s="28" t="str">
        <f>学员姓名!B20</f>
        <v>学生 19</v>
      </c>
      <c r="V1" s="28" t="str">
        <f>学员姓名!B21</f>
        <v>学生 20</v>
      </c>
      <c r="W1" s="28" t="str">
        <f>学员姓名!B22</f>
        <v>学生 21</v>
      </c>
      <c r="X1" s="28" t="str">
        <f>学员姓名!B23</f>
        <v>学生 22</v>
      </c>
      <c r="Y1" s="28" t="str">
        <f>学员姓名!B24</f>
        <v>学生 23</v>
      </c>
      <c r="Z1" s="28" t="str">
        <f>学员姓名!B25</f>
        <v>学生 24</v>
      </c>
    </row>
    <row r="2" spans="1:26" ht="30" customHeight="1" thickBot="1">
      <c r="A2" s="37"/>
      <c r="B2" s="16" t="s">
        <v>47</v>
      </c>
      <c r="C2" s="14"/>
      <c r="D2" s="14"/>
      <c r="E2" s="14"/>
      <c r="F2" s="14"/>
      <c r="G2" s="14"/>
      <c r="H2" s="14"/>
      <c r="I2" s="14"/>
      <c r="J2" s="14"/>
      <c r="K2" s="14"/>
      <c r="L2" s="14"/>
      <c r="M2" s="14"/>
      <c r="N2" s="14"/>
      <c r="O2" s="14"/>
      <c r="P2" s="14"/>
      <c r="Q2" s="14"/>
      <c r="R2" s="14"/>
      <c r="S2" s="14"/>
      <c r="T2" s="14"/>
      <c r="U2" s="14"/>
      <c r="V2" s="14"/>
      <c r="W2" s="14"/>
      <c r="X2" s="14"/>
      <c r="Y2" s="14"/>
      <c r="Z2" s="14"/>
    </row>
    <row r="3" spans="1:26" ht="50" customHeight="1" thickBot="1">
      <c r="A3" s="38" t="s">
        <v>63</v>
      </c>
      <c r="B3" s="39">
        <v>6</v>
      </c>
      <c r="C3" s="50"/>
      <c r="D3" s="50"/>
      <c r="E3" s="50"/>
      <c r="F3" s="50"/>
      <c r="G3" s="50"/>
      <c r="H3" s="50"/>
      <c r="I3" s="50"/>
      <c r="J3" s="50"/>
      <c r="K3" s="50"/>
      <c r="L3" s="50"/>
      <c r="M3" s="50"/>
      <c r="N3" s="50"/>
      <c r="O3" s="50"/>
      <c r="P3" s="50"/>
      <c r="Q3" s="50"/>
      <c r="R3" s="50"/>
      <c r="S3" s="50"/>
      <c r="T3" s="50"/>
      <c r="U3" s="50"/>
      <c r="V3" s="50"/>
      <c r="W3" s="50"/>
      <c r="X3" s="50"/>
      <c r="Y3" s="50"/>
      <c r="Z3" s="50"/>
    </row>
    <row r="4" spans="1:26" ht="50" customHeight="1">
      <c r="A4" s="32" t="s">
        <v>64</v>
      </c>
      <c r="B4" s="30">
        <v>5</v>
      </c>
      <c r="C4" s="30" t="str">
        <f>IF(C3&gt;=$B$4,"通过","未通过／未参加")</f>
        <v>未通过／未参加</v>
      </c>
      <c r="D4" s="30" t="str">
        <f t="shared" ref="D4:Z4" si="0">IF(D3&gt;=$B$4,"通过","未通过／未参加")</f>
        <v>未通过／未参加</v>
      </c>
      <c r="E4" s="30" t="str">
        <f t="shared" si="0"/>
        <v>未通过／未参加</v>
      </c>
      <c r="F4" s="30" t="str">
        <f t="shared" si="0"/>
        <v>未通过／未参加</v>
      </c>
      <c r="G4" s="30" t="str">
        <f t="shared" si="0"/>
        <v>未通过／未参加</v>
      </c>
      <c r="H4" s="30" t="str">
        <f t="shared" si="0"/>
        <v>未通过／未参加</v>
      </c>
      <c r="I4" s="30" t="str">
        <f t="shared" si="0"/>
        <v>未通过／未参加</v>
      </c>
      <c r="J4" s="30" t="str">
        <f t="shared" si="0"/>
        <v>未通过／未参加</v>
      </c>
      <c r="K4" s="30" t="str">
        <f t="shared" si="0"/>
        <v>未通过／未参加</v>
      </c>
      <c r="L4" s="30" t="str">
        <f t="shared" si="0"/>
        <v>未通过／未参加</v>
      </c>
      <c r="M4" s="30" t="str">
        <f t="shared" si="0"/>
        <v>未通过／未参加</v>
      </c>
      <c r="N4" s="30" t="str">
        <f t="shared" si="0"/>
        <v>未通过／未参加</v>
      </c>
      <c r="O4" s="30" t="str">
        <f t="shared" si="0"/>
        <v>未通过／未参加</v>
      </c>
      <c r="P4" s="30" t="str">
        <f t="shared" si="0"/>
        <v>未通过／未参加</v>
      </c>
      <c r="Q4" s="30" t="str">
        <f t="shared" si="0"/>
        <v>未通过／未参加</v>
      </c>
      <c r="R4" s="30" t="str">
        <f t="shared" si="0"/>
        <v>未通过／未参加</v>
      </c>
      <c r="S4" s="30" t="str">
        <f t="shared" si="0"/>
        <v>未通过／未参加</v>
      </c>
      <c r="T4" s="30" t="str">
        <f t="shared" si="0"/>
        <v>未通过／未参加</v>
      </c>
      <c r="U4" s="30" t="str">
        <f t="shared" si="0"/>
        <v>未通过／未参加</v>
      </c>
      <c r="V4" s="30" t="str">
        <f t="shared" si="0"/>
        <v>未通过／未参加</v>
      </c>
      <c r="W4" s="30" t="str">
        <f t="shared" si="0"/>
        <v>未通过／未参加</v>
      </c>
      <c r="X4" s="30" t="str">
        <f t="shared" si="0"/>
        <v>未通过／未参加</v>
      </c>
      <c r="Y4" s="30" t="str">
        <f t="shared" si="0"/>
        <v>未通过／未参加</v>
      </c>
      <c r="Z4" s="30" t="str">
        <f t="shared" si="0"/>
        <v>未通过／未参加</v>
      </c>
    </row>
  </sheetData>
  <sheetProtection algorithmName="SHA-512" hashValue="+l2HZAGDTIYCTAz7PEa5QdFiwKNmABK3jsOeQfR44nVAVGcFiBh5+HzpWxmb06YkUV2d1zH0Ofs+0z1+qz70KA==" saltValue="AcOwpHHJs34kqD/4AppefQ==" spinCount="100000" sheet="1" selectLockedCells="1"/>
  <mergeCells count="1">
    <mergeCell ref="A1:B1"/>
  </mergeCells>
  <conditionalFormatting sqref="C4:Z4">
    <cfRule type="cellIs" dxfId="23" priority="1" operator="equal">
      <formula>"通过"</formula>
    </cfRule>
    <cfRule type="cellIs" dxfId="22" priority="2" operator="equal">
      <formula>"PASS"</formula>
    </cfRule>
    <cfRule type="cellIs" dxfId="21" priority="3" operator="equal">
      <formula>"FAIL"</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39EDA-D090-7C48-B3E0-98FF8FE7E14E}">
  <dimension ref="A1:Z4"/>
  <sheetViews>
    <sheetView showGridLines="0" workbookViewId="0">
      <pane xSplit="2" topLeftCell="C1" activePane="topRight" state="frozen"/>
      <selection pane="topRight" activeCell="C3" sqref="C3"/>
    </sheetView>
  </sheetViews>
  <sheetFormatPr baseColWidth="10" defaultColWidth="10.83203125" defaultRowHeight="50" customHeight="1"/>
  <cols>
    <col min="1" max="1" width="63.83203125" style="1" customWidth="1"/>
    <col min="2" max="26" width="20.83203125" style="1" customWidth="1"/>
    <col min="27" max="16384" width="10.83203125" style="1"/>
  </cols>
  <sheetData>
    <row r="1" spans="1:26" ht="50" customHeight="1">
      <c r="A1" s="54" t="s">
        <v>72</v>
      </c>
      <c r="B1" s="54"/>
      <c r="C1" s="27" t="str">
        <f>学员姓名!B2</f>
        <v>学生 1</v>
      </c>
      <c r="D1" s="27" t="str">
        <f>学员姓名!B3</f>
        <v>学生 2</v>
      </c>
      <c r="E1" s="27" t="str">
        <f>学员姓名!B4</f>
        <v>学生 3</v>
      </c>
      <c r="F1" s="28" t="str">
        <f>学员姓名!B5</f>
        <v>学生 4</v>
      </c>
      <c r="G1" s="28" t="str">
        <f>学员姓名!B6</f>
        <v>学生 5</v>
      </c>
      <c r="H1" s="28" t="str">
        <f>学员姓名!B7</f>
        <v>学生 6</v>
      </c>
      <c r="I1" s="28" t="str">
        <f>学员姓名!B8</f>
        <v>学生 7</v>
      </c>
      <c r="J1" s="28" t="str">
        <f>学员姓名!B9</f>
        <v>学生 8</v>
      </c>
      <c r="K1" s="28" t="str">
        <f>学员姓名!B10</f>
        <v>学生 9</v>
      </c>
      <c r="L1" s="28" t="str">
        <f>学员姓名!B11</f>
        <v>学生 10</v>
      </c>
      <c r="M1" s="28" t="str">
        <f>学员姓名!B12</f>
        <v>学生 11</v>
      </c>
      <c r="N1" s="28" t="str">
        <f>学员姓名!B13</f>
        <v>学生 12</v>
      </c>
      <c r="O1" s="28" t="str">
        <f>学员姓名!B14</f>
        <v>学生 13</v>
      </c>
      <c r="P1" s="28" t="str">
        <f>学员姓名!B15</f>
        <v>学生 14</v>
      </c>
      <c r="Q1" s="28" t="str">
        <f>学员姓名!B16</f>
        <v>学生 15</v>
      </c>
      <c r="R1" s="28" t="str">
        <f>学员姓名!B17</f>
        <v>学生 16</v>
      </c>
      <c r="S1" s="28" t="str">
        <f>学员姓名!B18</f>
        <v>学生 17</v>
      </c>
      <c r="T1" s="28" t="str">
        <f>学员姓名!B19</f>
        <v>学生 18</v>
      </c>
      <c r="U1" s="28" t="str">
        <f>学员姓名!B20</f>
        <v>学生 19</v>
      </c>
      <c r="V1" s="28" t="str">
        <f>学员姓名!B21</f>
        <v>学生 20</v>
      </c>
      <c r="W1" s="28" t="str">
        <f>学员姓名!B22</f>
        <v>学生 21</v>
      </c>
      <c r="X1" s="28" t="str">
        <f>学员姓名!B23</f>
        <v>学生 22</v>
      </c>
      <c r="Y1" s="28" t="str">
        <f>学员姓名!B24</f>
        <v>学生 23</v>
      </c>
      <c r="Z1" s="28" t="str">
        <f>学员姓名!B25</f>
        <v>学生 24</v>
      </c>
    </row>
    <row r="2" spans="1:26" ht="30" customHeight="1" thickBot="1">
      <c r="A2" s="37"/>
      <c r="B2" s="16" t="s">
        <v>47</v>
      </c>
      <c r="C2" s="41"/>
      <c r="D2" s="40"/>
      <c r="E2" s="40"/>
      <c r="F2" s="40"/>
      <c r="G2" s="40"/>
      <c r="H2" s="40"/>
      <c r="I2" s="40"/>
      <c r="J2" s="40"/>
      <c r="K2" s="40"/>
      <c r="L2" s="40"/>
      <c r="M2" s="40"/>
      <c r="N2" s="40"/>
      <c r="O2" s="40"/>
      <c r="P2" s="40"/>
      <c r="Q2" s="40"/>
      <c r="R2" s="40"/>
      <c r="S2" s="40"/>
      <c r="T2" s="40"/>
      <c r="U2" s="40"/>
      <c r="V2" s="40"/>
      <c r="W2" s="40"/>
      <c r="X2" s="40"/>
      <c r="Y2" s="40"/>
      <c r="Z2" s="40"/>
    </row>
    <row r="3" spans="1:26" ht="50" customHeight="1" thickBot="1">
      <c r="A3" s="38" t="s">
        <v>63</v>
      </c>
      <c r="B3" s="45">
        <v>6</v>
      </c>
      <c r="C3" s="50"/>
      <c r="D3" s="50"/>
      <c r="E3" s="50"/>
      <c r="F3" s="50"/>
      <c r="G3" s="50"/>
      <c r="H3" s="50"/>
      <c r="I3" s="50"/>
      <c r="J3" s="50"/>
      <c r="K3" s="50"/>
      <c r="L3" s="50"/>
      <c r="M3" s="50"/>
      <c r="N3" s="50"/>
      <c r="O3" s="50"/>
      <c r="P3" s="50"/>
      <c r="Q3" s="50"/>
      <c r="R3" s="50"/>
      <c r="S3" s="50"/>
      <c r="T3" s="50"/>
      <c r="U3" s="50"/>
      <c r="V3" s="50"/>
      <c r="W3" s="50"/>
      <c r="X3" s="50"/>
      <c r="Y3" s="50"/>
      <c r="Z3" s="50"/>
    </row>
    <row r="4" spans="1:26" ht="50" customHeight="1">
      <c r="A4" s="32" t="s">
        <v>64</v>
      </c>
      <c r="B4" s="30">
        <v>5</v>
      </c>
      <c r="C4" s="30" t="str">
        <f>IF(C3&gt;=$B$4,"通过","未通过／未参加")</f>
        <v>未通过／未参加</v>
      </c>
      <c r="D4" s="30" t="str">
        <f t="shared" ref="D4:Z4" si="0">IF(D3&gt;=$B$4,"通过","未通过／未参加")</f>
        <v>未通过／未参加</v>
      </c>
      <c r="E4" s="30" t="str">
        <f t="shared" si="0"/>
        <v>未通过／未参加</v>
      </c>
      <c r="F4" s="30" t="str">
        <f t="shared" si="0"/>
        <v>未通过／未参加</v>
      </c>
      <c r="G4" s="30" t="str">
        <f t="shared" si="0"/>
        <v>未通过／未参加</v>
      </c>
      <c r="H4" s="30" t="str">
        <f t="shared" si="0"/>
        <v>未通过／未参加</v>
      </c>
      <c r="I4" s="30" t="str">
        <f t="shared" si="0"/>
        <v>未通过／未参加</v>
      </c>
      <c r="J4" s="30" t="str">
        <f t="shared" si="0"/>
        <v>未通过／未参加</v>
      </c>
      <c r="K4" s="30" t="str">
        <f t="shared" si="0"/>
        <v>未通过／未参加</v>
      </c>
      <c r="L4" s="30" t="str">
        <f t="shared" si="0"/>
        <v>未通过／未参加</v>
      </c>
      <c r="M4" s="30" t="str">
        <f t="shared" si="0"/>
        <v>未通过／未参加</v>
      </c>
      <c r="N4" s="30" t="str">
        <f t="shared" si="0"/>
        <v>未通过／未参加</v>
      </c>
      <c r="O4" s="30" t="str">
        <f t="shared" si="0"/>
        <v>未通过／未参加</v>
      </c>
      <c r="P4" s="30" t="str">
        <f t="shared" si="0"/>
        <v>未通过／未参加</v>
      </c>
      <c r="Q4" s="30" t="str">
        <f t="shared" si="0"/>
        <v>未通过／未参加</v>
      </c>
      <c r="R4" s="30" t="str">
        <f t="shared" si="0"/>
        <v>未通过／未参加</v>
      </c>
      <c r="S4" s="30" t="str">
        <f t="shared" si="0"/>
        <v>未通过／未参加</v>
      </c>
      <c r="T4" s="30" t="str">
        <f t="shared" si="0"/>
        <v>未通过／未参加</v>
      </c>
      <c r="U4" s="30" t="str">
        <f t="shared" si="0"/>
        <v>未通过／未参加</v>
      </c>
      <c r="V4" s="30" t="str">
        <f t="shared" si="0"/>
        <v>未通过／未参加</v>
      </c>
      <c r="W4" s="30" t="str">
        <f t="shared" si="0"/>
        <v>未通过／未参加</v>
      </c>
      <c r="X4" s="30" t="str">
        <f t="shared" si="0"/>
        <v>未通过／未参加</v>
      </c>
      <c r="Y4" s="30" t="str">
        <f t="shared" si="0"/>
        <v>未通过／未参加</v>
      </c>
      <c r="Z4" s="30" t="str">
        <f t="shared" si="0"/>
        <v>未通过／未参加</v>
      </c>
    </row>
  </sheetData>
  <sheetProtection algorithmName="SHA-512" hashValue="GdnxKZjY4SvB0rBGBfjSZDDCIBskFa+IRB8YCLn40xN5A8QH+GTjef0n7/MGG2ajqODIAiwU5yHoiHYlcLhxrg==" saltValue="SrTNbNzlXjowt18WGgY4fA==" spinCount="100000" sheet="1" selectLockedCells="1"/>
  <mergeCells count="1">
    <mergeCell ref="A1:B1"/>
  </mergeCells>
  <conditionalFormatting sqref="C4:Z4">
    <cfRule type="cellIs" dxfId="20" priority="1" operator="equal">
      <formula>"通过"</formula>
    </cfRule>
    <cfRule type="cellIs" dxfId="19" priority="2" operator="equal">
      <formula>"PASS"</formula>
    </cfRule>
    <cfRule type="cellIs" dxfId="18" priority="3" operator="equal">
      <formula>"FAIL"</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A168-9280-C446-9EE5-3094868461CF}">
  <dimension ref="A1:Z4"/>
  <sheetViews>
    <sheetView showGridLines="0" workbookViewId="0">
      <pane xSplit="2" topLeftCell="C1" activePane="topRight" state="frozen"/>
      <selection pane="topRight" activeCell="C3" sqref="C3"/>
    </sheetView>
  </sheetViews>
  <sheetFormatPr baseColWidth="10" defaultColWidth="10.83203125" defaultRowHeight="50" customHeight="1"/>
  <cols>
    <col min="1" max="1" width="63.83203125" style="1" customWidth="1"/>
    <col min="2" max="26" width="20.83203125" style="1" customWidth="1"/>
    <col min="27" max="16384" width="10.83203125" style="1"/>
  </cols>
  <sheetData>
    <row r="1" spans="1:26" ht="50" customHeight="1">
      <c r="A1" s="54" t="s">
        <v>73</v>
      </c>
      <c r="B1" s="54"/>
      <c r="C1" s="28" t="str">
        <f>学员姓名!B2</f>
        <v>学生 1</v>
      </c>
      <c r="D1" s="28" t="str">
        <f>学员姓名!B3</f>
        <v>学生 2</v>
      </c>
      <c r="E1" s="28" t="str">
        <f>学员姓名!B4</f>
        <v>学生 3</v>
      </c>
      <c r="F1" s="28" t="str">
        <f>学员姓名!B5</f>
        <v>学生 4</v>
      </c>
      <c r="G1" s="28" t="str">
        <f>学员姓名!B6</f>
        <v>学生 5</v>
      </c>
      <c r="H1" s="28" t="str">
        <f>学员姓名!B7</f>
        <v>学生 6</v>
      </c>
      <c r="I1" s="28" t="str">
        <f>学员姓名!B8</f>
        <v>学生 7</v>
      </c>
      <c r="J1" s="28" t="str">
        <f>学员姓名!B9</f>
        <v>学生 8</v>
      </c>
      <c r="K1" s="28" t="str">
        <f>学员姓名!B10</f>
        <v>学生 9</v>
      </c>
      <c r="L1" s="28" t="str">
        <f>学员姓名!B11</f>
        <v>学生 10</v>
      </c>
      <c r="M1" s="28" t="str">
        <f>学员姓名!B12</f>
        <v>学生 11</v>
      </c>
      <c r="N1" s="28" t="str">
        <f>学员姓名!B13</f>
        <v>学生 12</v>
      </c>
      <c r="O1" s="28" t="str">
        <f>学员姓名!B14</f>
        <v>学生 13</v>
      </c>
      <c r="P1" s="28" t="str">
        <f>学员姓名!B15</f>
        <v>学生 14</v>
      </c>
      <c r="Q1" s="28" t="str">
        <f>学员姓名!B16</f>
        <v>学生 15</v>
      </c>
      <c r="R1" s="28" t="str">
        <f>学员姓名!B17</f>
        <v>学生 16</v>
      </c>
      <c r="S1" s="28" t="str">
        <f>学员姓名!B18</f>
        <v>学生 17</v>
      </c>
      <c r="T1" s="28" t="str">
        <f>学员姓名!B19</f>
        <v>学生 18</v>
      </c>
      <c r="U1" s="28" t="str">
        <f>学员姓名!B20</f>
        <v>学生 19</v>
      </c>
      <c r="V1" s="28" t="str">
        <f>学员姓名!B21</f>
        <v>学生 20</v>
      </c>
      <c r="W1" s="28" t="str">
        <f>学员姓名!B22</f>
        <v>学生 21</v>
      </c>
      <c r="X1" s="28" t="str">
        <f>学员姓名!B23</f>
        <v>学生 22</v>
      </c>
      <c r="Y1" s="28" t="str">
        <f>学员姓名!B24</f>
        <v>学生 23</v>
      </c>
      <c r="Z1" s="28" t="str">
        <f>学员姓名!B25</f>
        <v>学生 24</v>
      </c>
    </row>
    <row r="2" spans="1:26" ht="30" customHeight="1" thickBot="1">
      <c r="A2" s="37"/>
      <c r="B2" s="16" t="s">
        <v>47</v>
      </c>
      <c r="C2" s="14"/>
      <c r="D2" s="14"/>
      <c r="E2" s="14"/>
      <c r="F2" s="14"/>
      <c r="G2" s="14"/>
      <c r="H2" s="14"/>
      <c r="I2" s="14"/>
      <c r="J2" s="14"/>
      <c r="K2" s="14"/>
      <c r="L2" s="14"/>
      <c r="M2" s="14"/>
      <c r="N2" s="14"/>
      <c r="O2" s="14"/>
      <c r="P2" s="14"/>
      <c r="Q2" s="14"/>
      <c r="R2" s="14"/>
      <c r="S2" s="14"/>
      <c r="T2" s="14"/>
      <c r="U2" s="14"/>
      <c r="V2" s="14"/>
      <c r="W2" s="14"/>
      <c r="X2" s="14"/>
      <c r="Y2" s="14"/>
      <c r="Z2" s="14"/>
    </row>
    <row r="3" spans="1:26" ht="50" customHeight="1" thickBot="1">
      <c r="A3" s="38" t="s">
        <v>63</v>
      </c>
      <c r="B3" s="39">
        <v>50</v>
      </c>
      <c r="C3" s="50"/>
      <c r="D3" s="50"/>
      <c r="E3" s="50"/>
      <c r="F3" s="50"/>
      <c r="G3" s="50"/>
      <c r="H3" s="50"/>
      <c r="I3" s="50"/>
      <c r="J3" s="50"/>
      <c r="K3" s="50"/>
      <c r="L3" s="50"/>
      <c r="M3" s="50"/>
      <c r="N3" s="50"/>
      <c r="O3" s="50"/>
      <c r="P3" s="50"/>
      <c r="Q3" s="50"/>
      <c r="R3" s="50"/>
      <c r="S3" s="50"/>
      <c r="T3" s="50"/>
      <c r="U3" s="50"/>
      <c r="V3" s="50"/>
      <c r="W3" s="50"/>
      <c r="X3" s="50"/>
      <c r="Y3" s="50"/>
      <c r="Z3" s="50"/>
    </row>
    <row r="4" spans="1:26" ht="50" customHeight="1">
      <c r="A4" s="32" t="s">
        <v>64</v>
      </c>
      <c r="B4" s="30">
        <v>40</v>
      </c>
      <c r="C4" s="30" t="str">
        <f>IF(C3&gt;=$B$4,"通过","未通过／未参加")</f>
        <v>未通过／未参加</v>
      </c>
      <c r="D4" s="30" t="str">
        <f t="shared" ref="D4:Z4" si="0">IF(D3&gt;=$B$4,"通过","未通过／未参加")</f>
        <v>未通过／未参加</v>
      </c>
      <c r="E4" s="30" t="str">
        <f t="shared" si="0"/>
        <v>未通过／未参加</v>
      </c>
      <c r="F4" s="30" t="str">
        <f t="shared" si="0"/>
        <v>未通过／未参加</v>
      </c>
      <c r="G4" s="30" t="str">
        <f t="shared" si="0"/>
        <v>未通过／未参加</v>
      </c>
      <c r="H4" s="30" t="str">
        <f t="shared" si="0"/>
        <v>未通过／未参加</v>
      </c>
      <c r="I4" s="30" t="str">
        <f t="shared" si="0"/>
        <v>未通过／未参加</v>
      </c>
      <c r="J4" s="30" t="str">
        <f t="shared" si="0"/>
        <v>未通过／未参加</v>
      </c>
      <c r="K4" s="30" t="str">
        <f t="shared" si="0"/>
        <v>未通过／未参加</v>
      </c>
      <c r="L4" s="30" t="str">
        <f t="shared" si="0"/>
        <v>未通过／未参加</v>
      </c>
      <c r="M4" s="30" t="str">
        <f t="shared" si="0"/>
        <v>未通过／未参加</v>
      </c>
      <c r="N4" s="30" t="str">
        <f t="shared" si="0"/>
        <v>未通过／未参加</v>
      </c>
      <c r="O4" s="30" t="str">
        <f t="shared" si="0"/>
        <v>未通过／未参加</v>
      </c>
      <c r="P4" s="30" t="str">
        <f t="shared" si="0"/>
        <v>未通过／未参加</v>
      </c>
      <c r="Q4" s="30" t="str">
        <f t="shared" si="0"/>
        <v>未通过／未参加</v>
      </c>
      <c r="R4" s="30" t="str">
        <f t="shared" si="0"/>
        <v>未通过／未参加</v>
      </c>
      <c r="S4" s="30" t="str">
        <f t="shared" si="0"/>
        <v>未通过／未参加</v>
      </c>
      <c r="T4" s="30" t="str">
        <f t="shared" si="0"/>
        <v>未通过／未参加</v>
      </c>
      <c r="U4" s="30" t="str">
        <f t="shared" si="0"/>
        <v>未通过／未参加</v>
      </c>
      <c r="V4" s="30" t="str">
        <f t="shared" si="0"/>
        <v>未通过／未参加</v>
      </c>
      <c r="W4" s="30" t="str">
        <f t="shared" si="0"/>
        <v>未通过／未参加</v>
      </c>
      <c r="X4" s="30" t="str">
        <f t="shared" si="0"/>
        <v>未通过／未参加</v>
      </c>
      <c r="Y4" s="30" t="str">
        <f t="shared" si="0"/>
        <v>未通过／未参加</v>
      </c>
      <c r="Z4" s="30" t="str">
        <f t="shared" si="0"/>
        <v>未通过／未参加</v>
      </c>
    </row>
  </sheetData>
  <sheetProtection algorithmName="SHA-512" hashValue="vS9Qh25T/mBgIw/sWYsbXckHnAY05Kr0I7NDYjAMhsod2lqm7W2a3M30l2sNT/lvQ6Ic29/5lTK73BSIlOMpTA==" saltValue="M+w3+21rtVoNPuWkXvE98w==" spinCount="100000" sheet="1" selectLockedCells="1"/>
  <mergeCells count="1">
    <mergeCell ref="A1:B1"/>
  </mergeCells>
  <conditionalFormatting sqref="C4:Z4">
    <cfRule type="cellIs" dxfId="17" priority="1" operator="equal">
      <formula>"通过"</formula>
    </cfRule>
    <cfRule type="cellIs" dxfId="16" priority="2" operator="equal">
      <formula>"PASS"</formula>
    </cfRule>
    <cfRule type="cellIs" dxfId="15" priority="3" operator="equal">
      <formula>"FAIL"</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266D3-58C9-F545-8503-7DC75AF1B676}">
  <dimension ref="A1:Z4"/>
  <sheetViews>
    <sheetView showGridLines="0" workbookViewId="0">
      <pane xSplit="2" topLeftCell="C1" activePane="topRight" state="frozen"/>
      <selection pane="topRight" activeCell="C3" sqref="C3"/>
    </sheetView>
  </sheetViews>
  <sheetFormatPr baseColWidth="10" defaultColWidth="10.83203125" defaultRowHeight="50" customHeight="1"/>
  <cols>
    <col min="1" max="1" width="63.83203125" style="1" customWidth="1"/>
    <col min="2" max="26" width="20.83203125" style="1" customWidth="1"/>
    <col min="27" max="16384" width="10.83203125" style="1"/>
  </cols>
  <sheetData>
    <row r="1" spans="1:26" ht="50" customHeight="1">
      <c r="A1" s="54" t="s">
        <v>74</v>
      </c>
      <c r="B1" s="54"/>
      <c r="C1" s="28" t="str">
        <f>学员姓名!B2</f>
        <v>学生 1</v>
      </c>
      <c r="D1" s="28" t="str">
        <f>学员姓名!B3</f>
        <v>学生 2</v>
      </c>
      <c r="E1" s="28" t="str">
        <f>学员姓名!B4</f>
        <v>学生 3</v>
      </c>
      <c r="F1" s="28" t="str">
        <f>学员姓名!B5</f>
        <v>学生 4</v>
      </c>
      <c r="G1" s="28" t="str">
        <f>学员姓名!B6</f>
        <v>学生 5</v>
      </c>
      <c r="H1" s="28" t="str">
        <f>学员姓名!B7</f>
        <v>学生 6</v>
      </c>
      <c r="I1" s="28" t="str">
        <f>学员姓名!B8</f>
        <v>学生 7</v>
      </c>
      <c r="J1" s="28" t="str">
        <f>学员姓名!B9</f>
        <v>学生 8</v>
      </c>
      <c r="K1" s="28" t="str">
        <f>学员姓名!B10</f>
        <v>学生 9</v>
      </c>
      <c r="L1" s="28" t="str">
        <f>学员姓名!B11</f>
        <v>学生 10</v>
      </c>
      <c r="M1" s="28" t="str">
        <f>学员姓名!B12</f>
        <v>学生 11</v>
      </c>
      <c r="N1" s="28" t="str">
        <f>学员姓名!B13</f>
        <v>学生 12</v>
      </c>
      <c r="O1" s="28" t="str">
        <f>学员姓名!B14</f>
        <v>学生 13</v>
      </c>
      <c r="P1" s="28" t="str">
        <f>学员姓名!B15</f>
        <v>学生 14</v>
      </c>
      <c r="Q1" s="28" t="str">
        <f>学员姓名!B16</f>
        <v>学生 15</v>
      </c>
      <c r="R1" s="28" t="str">
        <f>学员姓名!B17</f>
        <v>学生 16</v>
      </c>
      <c r="S1" s="28" t="str">
        <f>学员姓名!B18</f>
        <v>学生 17</v>
      </c>
      <c r="T1" s="28" t="str">
        <f>学员姓名!B19</f>
        <v>学生 18</v>
      </c>
      <c r="U1" s="28" t="str">
        <f>学员姓名!B20</f>
        <v>学生 19</v>
      </c>
      <c r="V1" s="28" t="str">
        <f>学员姓名!B21</f>
        <v>学生 20</v>
      </c>
      <c r="W1" s="28" t="str">
        <f>学员姓名!B22</f>
        <v>学生 21</v>
      </c>
      <c r="X1" s="28" t="str">
        <f>学员姓名!B23</f>
        <v>学生 22</v>
      </c>
      <c r="Y1" s="28" t="str">
        <f>学员姓名!B24</f>
        <v>学生 23</v>
      </c>
      <c r="Z1" s="28" t="str">
        <f>学员姓名!B25</f>
        <v>学生 24</v>
      </c>
    </row>
    <row r="2" spans="1:26" ht="30" customHeight="1" thickBot="1">
      <c r="A2" s="37"/>
      <c r="B2" s="16" t="s">
        <v>47</v>
      </c>
      <c r="C2" s="14"/>
      <c r="D2" s="14"/>
      <c r="E2" s="14"/>
      <c r="F2" s="14"/>
      <c r="G2" s="14"/>
      <c r="H2" s="14"/>
      <c r="I2" s="14"/>
      <c r="J2" s="14"/>
      <c r="K2" s="14"/>
      <c r="L2" s="14"/>
      <c r="M2" s="14"/>
      <c r="N2" s="14"/>
      <c r="O2" s="14"/>
      <c r="P2" s="14"/>
      <c r="Q2" s="14"/>
      <c r="R2" s="14"/>
      <c r="S2" s="14"/>
      <c r="T2" s="14"/>
      <c r="U2" s="14"/>
      <c r="V2" s="14"/>
      <c r="W2" s="14"/>
      <c r="X2" s="14"/>
      <c r="Y2" s="14"/>
      <c r="Z2" s="14"/>
    </row>
    <row r="3" spans="1:26" ht="50" customHeight="1" thickBot="1">
      <c r="A3" s="38" t="s">
        <v>63</v>
      </c>
      <c r="B3" s="39">
        <v>50</v>
      </c>
      <c r="C3" s="50"/>
      <c r="D3" s="50"/>
      <c r="E3" s="50"/>
      <c r="F3" s="50"/>
      <c r="G3" s="50"/>
      <c r="H3" s="50"/>
      <c r="I3" s="50"/>
      <c r="J3" s="50"/>
      <c r="K3" s="50"/>
      <c r="L3" s="50"/>
      <c r="M3" s="50"/>
      <c r="N3" s="50"/>
      <c r="O3" s="50"/>
      <c r="P3" s="50"/>
      <c r="Q3" s="50"/>
      <c r="R3" s="50"/>
      <c r="S3" s="50"/>
      <c r="T3" s="50"/>
      <c r="U3" s="50"/>
      <c r="V3" s="50"/>
      <c r="W3" s="50"/>
      <c r="X3" s="50"/>
      <c r="Y3" s="50"/>
      <c r="Z3" s="50"/>
    </row>
    <row r="4" spans="1:26" ht="50" customHeight="1">
      <c r="A4" s="32" t="s">
        <v>64</v>
      </c>
      <c r="B4" s="30">
        <v>40</v>
      </c>
      <c r="C4" s="30" t="str">
        <f>IF(C3&gt;=$B$4,"通过","未通过／未参加")</f>
        <v>未通过／未参加</v>
      </c>
      <c r="D4" s="30" t="str">
        <f t="shared" ref="D4:Z4" si="0">IF(D3&gt;=$B$4,"通过","未通过／未参加")</f>
        <v>未通过／未参加</v>
      </c>
      <c r="E4" s="30" t="str">
        <f t="shared" si="0"/>
        <v>未通过／未参加</v>
      </c>
      <c r="F4" s="30" t="str">
        <f t="shared" si="0"/>
        <v>未通过／未参加</v>
      </c>
      <c r="G4" s="30" t="str">
        <f t="shared" si="0"/>
        <v>未通过／未参加</v>
      </c>
      <c r="H4" s="30" t="str">
        <f t="shared" si="0"/>
        <v>未通过／未参加</v>
      </c>
      <c r="I4" s="30" t="str">
        <f t="shared" si="0"/>
        <v>未通过／未参加</v>
      </c>
      <c r="J4" s="30" t="str">
        <f t="shared" si="0"/>
        <v>未通过／未参加</v>
      </c>
      <c r="K4" s="30" t="str">
        <f t="shared" si="0"/>
        <v>未通过／未参加</v>
      </c>
      <c r="L4" s="30" t="str">
        <f t="shared" si="0"/>
        <v>未通过／未参加</v>
      </c>
      <c r="M4" s="30" t="str">
        <f t="shared" si="0"/>
        <v>未通过／未参加</v>
      </c>
      <c r="N4" s="30" t="str">
        <f t="shared" si="0"/>
        <v>未通过／未参加</v>
      </c>
      <c r="O4" s="30" t="str">
        <f t="shared" si="0"/>
        <v>未通过／未参加</v>
      </c>
      <c r="P4" s="30" t="str">
        <f t="shared" si="0"/>
        <v>未通过／未参加</v>
      </c>
      <c r="Q4" s="30" t="str">
        <f t="shared" si="0"/>
        <v>未通过／未参加</v>
      </c>
      <c r="R4" s="30" t="str">
        <f t="shared" si="0"/>
        <v>未通过／未参加</v>
      </c>
      <c r="S4" s="30" t="str">
        <f t="shared" si="0"/>
        <v>未通过／未参加</v>
      </c>
      <c r="T4" s="30" t="str">
        <f t="shared" si="0"/>
        <v>未通过／未参加</v>
      </c>
      <c r="U4" s="30" t="str">
        <f t="shared" si="0"/>
        <v>未通过／未参加</v>
      </c>
      <c r="V4" s="30" t="str">
        <f t="shared" si="0"/>
        <v>未通过／未参加</v>
      </c>
      <c r="W4" s="30" t="str">
        <f t="shared" si="0"/>
        <v>未通过／未参加</v>
      </c>
      <c r="X4" s="30" t="str">
        <f t="shared" si="0"/>
        <v>未通过／未参加</v>
      </c>
      <c r="Y4" s="30" t="str">
        <f t="shared" si="0"/>
        <v>未通过／未参加</v>
      </c>
      <c r="Z4" s="30" t="str">
        <f t="shared" si="0"/>
        <v>未通过／未参加</v>
      </c>
    </row>
  </sheetData>
  <sheetProtection algorithmName="SHA-512" hashValue="ByxvpcxSZoFmxsrb3EtLoUZ+KeEuF1TL+HC8Cj4NaU+ptp8rnsApqf1zyGsXE+fovyaDIQWPOYzc939pdjdFEQ==" saltValue="KI/O5uEkUQl+9fcaxHKeAQ==" spinCount="100000" sheet="1" selectLockedCells="1"/>
  <mergeCells count="1">
    <mergeCell ref="A1:B1"/>
  </mergeCells>
  <conditionalFormatting sqref="C4:Z4">
    <cfRule type="cellIs" dxfId="14" priority="1" operator="equal">
      <formula>"通过"</formula>
    </cfRule>
    <cfRule type="cellIs" dxfId="13" priority="2" operator="equal">
      <formula>"PASS"</formula>
    </cfRule>
    <cfRule type="cellIs" dxfId="12" priority="3" operator="equal">
      <formula>"FAIL"</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FB0F3-CAFA-9649-85C3-19B37126CE19}">
  <dimension ref="A1:Z6"/>
  <sheetViews>
    <sheetView showGridLines="0" workbookViewId="0">
      <pane xSplit="2" topLeftCell="C1" activePane="topRight" state="frozen"/>
      <selection pane="topRight" activeCell="C3" sqref="C3"/>
    </sheetView>
  </sheetViews>
  <sheetFormatPr baseColWidth="10" defaultColWidth="11" defaultRowHeight="50" customHeight="1"/>
  <cols>
    <col min="1" max="1" width="63.83203125" customWidth="1"/>
    <col min="2" max="26" width="20.83203125" customWidth="1"/>
  </cols>
  <sheetData>
    <row r="1" spans="1:26" ht="50" customHeight="1">
      <c r="A1" s="54" t="s">
        <v>75</v>
      </c>
      <c r="B1" s="54"/>
      <c r="C1" s="28" t="str">
        <f>学员姓名!B2</f>
        <v>学生 1</v>
      </c>
      <c r="D1" s="28" t="str">
        <f>学员姓名!B3</f>
        <v>学生 2</v>
      </c>
      <c r="E1" s="28" t="str">
        <f>学员姓名!B4</f>
        <v>学生 3</v>
      </c>
      <c r="F1" s="28" t="str">
        <f>学员姓名!B5</f>
        <v>学生 4</v>
      </c>
      <c r="G1" s="28" t="str">
        <f>学员姓名!B6</f>
        <v>学生 5</v>
      </c>
      <c r="H1" s="28" t="str">
        <f>学员姓名!B7</f>
        <v>学生 6</v>
      </c>
      <c r="I1" s="28" t="str">
        <f>学员姓名!B8</f>
        <v>学生 7</v>
      </c>
      <c r="J1" s="28" t="str">
        <f>学员姓名!B9</f>
        <v>学生 8</v>
      </c>
      <c r="K1" s="28" t="str">
        <f>学员姓名!B10</f>
        <v>学生 9</v>
      </c>
      <c r="L1" s="28" t="str">
        <f>学员姓名!B11</f>
        <v>学生 10</v>
      </c>
      <c r="M1" s="28" t="str">
        <f>学员姓名!B12</f>
        <v>学生 11</v>
      </c>
      <c r="N1" s="28" t="str">
        <f>学员姓名!B13</f>
        <v>学生 12</v>
      </c>
      <c r="O1" s="28" t="str">
        <f>学员姓名!B14</f>
        <v>学生 13</v>
      </c>
      <c r="P1" s="28" t="str">
        <f>学员姓名!B15</f>
        <v>学生 14</v>
      </c>
      <c r="Q1" s="28" t="str">
        <f>学员姓名!B16</f>
        <v>学生 15</v>
      </c>
      <c r="R1" s="28" t="str">
        <f>学员姓名!B17</f>
        <v>学生 16</v>
      </c>
      <c r="S1" s="28" t="str">
        <f>学员姓名!B18</f>
        <v>学生 17</v>
      </c>
      <c r="T1" s="28" t="str">
        <f>学员姓名!B19</f>
        <v>学生 18</v>
      </c>
      <c r="U1" s="28" t="str">
        <f>学员姓名!B20</f>
        <v>学生 19</v>
      </c>
      <c r="V1" s="28" t="str">
        <f>学员姓名!B21</f>
        <v>学生 20</v>
      </c>
      <c r="W1" s="28" t="str">
        <f>学员姓名!B22</f>
        <v>学生 21</v>
      </c>
      <c r="X1" s="28" t="str">
        <f>学员姓名!B23</f>
        <v>学生 22</v>
      </c>
      <c r="Y1" s="28" t="str">
        <f>学员姓名!B24</f>
        <v>学生 23</v>
      </c>
      <c r="Z1" s="28" t="str">
        <f>学员姓名!B25</f>
        <v>学生 24</v>
      </c>
    </row>
    <row r="2" spans="1:26" ht="30" customHeight="1" thickBot="1">
      <c r="A2" s="37"/>
      <c r="B2" s="16" t="s">
        <v>47</v>
      </c>
      <c r="C2" s="14"/>
      <c r="D2" s="14"/>
      <c r="E2" s="14"/>
      <c r="F2" s="14"/>
      <c r="G2" s="14"/>
      <c r="H2" s="14"/>
      <c r="I2" s="14"/>
      <c r="J2" s="14"/>
      <c r="K2" s="14"/>
      <c r="L2" s="14"/>
      <c r="M2" s="14"/>
      <c r="N2" s="14"/>
      <c r="O2" s="14"/>
      <c r="P2" s="14"/>
      <c r="Q2" s="14"/>
      <c r="R2" s="14"/>
      <c r="S2" s="14"/>
      <c r="T2" s="14"/>
      <c r="U2" s="14"/>
      <c r="V2" s="14"/>
      <c r="W2" s="14"/>
      <c r="X2" s="14"/>
      <c r="Y2" s="14"/>
      <c r="Z2" s="14"/>
    </row>
    <row r="3" spans="1:26" ht="50" customHeight="1">
      <c r="A3" s="36" t="s">
        <v>83</v>
      </c>
      <c r="B3" s="30">
        <v>18</v>
      </c>
      <c r="C3" s="35"/>
      <c r="D3" s="35"/>
      <c r="E3" s="35"/>
      <c r="F3" s="35"/>
      <c r="G3" s="35"/>
      <c r="H3" s="35"/>
      <c r="I3" s="35"/>
      <c r="J3" s="35"/>
      <c r="K3" s="35"/>
      <c r="L3" s="35"/>
      <c r="M3" s="35"/>
      <c r="N3" s="35"/>
      <c r="O3" s="35"/>
      <c r="P3" s="35"/>
      <c r="Q3" s="35"/>
      <c r="R3" s="35"/>
      <c r="S3" s="35"/>
      <c r="T3" s="35"/>
      <c r="U3" s="35"/>
      <c r="V3" s="35"/>
      <c r="W3" s="35"/>
      <c r="X3" s="35"/>
      <c r="Y3" s="35"/>
      <c r="Z3" s="35"/>
    </row>
    <row r="4" spans="1:26" ht="50" customHeight="1">
      <c r="A4" s="27" t="s">
        <v>84</v>
      </c>
      <c r="B4" s="10">
        <v>32</v>
      </c>
      <c r="C4" s="35"/>
      <c r="D4" s="35"/>
      <c r="E4" s="35"/>
      <c r="F4" s="35"/>
      <c r="G4" s="35"/>
      <c r="H4" s="35"/>
      <c r="I4" s="35"/>
      <c r="J4" s="35"/>
      <c r="K4" s="35"/>
      <c r="L4" s="35"/>
      <c r="M4" s="35"/>
      <c r="N4" s="35"/>
      <c r="O4" s="35"/>
      <c r="P4" s="35"/>
      <c r="Q4" s="35"/>
      <c r="R4" s="35"/>
      <c r="S4" s="35"/>
      <c r="T4" s="35"/>
      <c r="U4" s="35"/>
      <c r="V4" s="35"/>
      <c r="W4" s="35"/>
      <c r="X4" s="35"/>
      <c r="Y4" s="35"/>
      <c r="Z4" s="35"/>
    </row>
    <row r="5" spans="1:26" ht="50" customHeight="1" thickBot="1">
      <c r="A5" s="38" t="s">
        <v>63</v>
      </c>
      <c r="B5" s="31">
        <v>50</v>
      </c>
      <c r="C5" s="31">
        <f>SUM(C3:C4)</f>
        <v>0</v>
      </c>
      <c r="D5" s="31">
        <f t="shared" ref="D5:Z5" si="0">SUM(D3:D4)</f>
        <v>0</v>
      </c>
      <c r="E5" s="31">
        <f t="shared" si="0"/>
        <v>0</v>
      </c>
      <c r="F5" s="31">
        <f t="shared" si="0"/>
        <v>0</v>
      </c>
      <c r="G5" s="31">
        <f t="shared" si="0"/>
        <v>0</v>
      </c>
      <c r="H5" s="31">
        <f t="shared" si="0"/>
        <v>0</v>
      </c>
      <c r="I5" s="31">
        <f t="shared" si="0"/>
        <v>0</v>
      </c>
      <c r="J5" s="31">
        <f t="shared" si="0"/>
        <v>0</v>
      </c>
      <c r="K5" s="31">
        <f t="shared" si="0"/>
        <v>0</v>
      </c>
      <c r="L5" s="31">
        <f t="shared" si="0"/>
        <v>0</v>
      </c>
      <c r="M5" s="31">
        <f t="shared" si="0"/>
        <v>0</v>
      </c>
      <c r="N5" s="31">
        <f t="shared" si="0"/>
        <v>0</v>
      </c>
      <c r="O5" s="31">
        <f t="shared" si="0"/>
        <v>0</v>
      </c>
      <c r="P5" s="31">
        <f t="shared" si="0"/>
        <v>0</v>
      </c>
      <c r="Q5" s="31">
        <f t="shared" si="0"/>
        <v>0</v>
      </c>
      <c r="R5" s="31">
        <f t="shared" si="0"/>
        <v>0</v>
      </c>
      <c r="S5" s="31">
        <f t="shared" si="0"/>
        <v>0</v>
      </c>
      <c r="T5" s="31">
        <f t="shared" si="0"/>
        <v>0</v>
      </c>
      <c r="U5" s="31">
        <f t="shared" si="0"/>
        <v>0</v>
      </c>
      <c r="V5" s="31">
        <f t="shared" si="0"/>
        <v>0</v>
      </c>
      <c r="W5" s="31">
        <f t="shared" si="0"/>
        <v>0</v>
      </c>
      <c r="X5" s="31">
        <f t="shared" si="0"/>
        <v>0</v>
      </c>
      <c r="Y5" s="31">
        <f t="shared" si="0"/>
        <v>0</v>
      </c>
      <c r="Z5" s="31">
        <f t="shared" si="0"/>
        <v>0</v>
      </c>
    </row>
    <row r="6" spans="1:26" ht="50" customHeight="1">
      <c r="A6" s="32" t="s">
        <v>64</v>
      </c>
      <c r="B6" s="30">
        <v>40</v>
      </c>
      <c r="C6" s="30" t="str">
        <f>IF(C5&gt;=$B$6,"通过","未通过／未参加")</f>
        <v>未通过／未参加</v>
      </c>
      <c r="D6" s="30" t="str">
        <f t="shared" ref="D6:Z6" si="1">IF(D5&gt;=$B$6,"通过","未通过／未参加")</f>
        <v>未通过／未参加</v>
      </c>
      <c r="E6" s="30" t="str">
        <f t="shared" si="1"/>
        <v>未通过／未参加</v>
      </c>
      <c r="F6" s="30" t="str">
        <f t="shared" si="1"/>
        <v>未通过／未参加</v>
      </c>
      <c r="G6" s="30" t="str">
        <f t="shared" si="1"/>
        <v>未通过／未参加</v>
      </c>
      <c r="H6" s="30" t="str">
        <f t="shared" si="1"/>
        <v>未通过／未参加</v>
      </c>
      <c r="I6" s="30" t="str">
        <f t="shared" si="1"/>
        <v>未通过／未参加</v>
      </c>
      <c r="J6" s="30" t="str">
        <f t="shared" si="1"/>
        <v>未通过／未参加</v>
      </c>
      <c r="K6" s="30" t="str">
        <f t="shared" si="1"/>
        <v>未通过／未参加</v>
      </c>
      <c r="L6" s="30" t="str">
        <f t="shared" si="1"/>
        <v>未通过／未参加</v>
      </c>
      <c r="M6" s="30" t="str">
        <f t="shared" si="1"/>
        <v>未通过／未参加</v>
      </c>
      <c r="N6" s="30" t="str">
        <f t="shared" si="1"/>
        <v>未通过／未参加</v>
      </c>
      <c r="O6" s="30" t="str">
        <f t="shared" si="1"/>
        <v>未通过／未参加</v>
      </c>
      <c r="P6" s="30" t="str">
        <f t="shared" si="1"/>
        <v>未通过／未参加</v>
      </c>
      <c r="Q6" s="30" t="str">
        <f t="shared" si="1"/>
        <v>未通过／未参加</v>
      </c>
      <c r="R6" s="30" t="str">
        <f t="shared" si="1"/>
        <v>未通过／未参加</v>
      </c>
      <c r="S6" s="30" t="str">
        <f t="shared" si="1"/>
        <v>未通过／未参加</v>
      </c>
      <c r="T6" s="30" t="str">
        <f t="shared" si="1"/>
        <v>未通过／未参加</v>
      </c>
      <c r="U6" s="30" t="str">
        <f t="shared" si="1"/>
        <v>未通过／未参加</v>
      </c>
      <c r="V6" s="30" t="str">
        <f t="shared" si="1"/>
        <v>未通过／未参加</v>
      </c>
      <c r="W6" s="30" t="str">
        <f t="shared" si="1"/>
        <v>未通过／未参加</v>
      </c>
      <c r="X6" s="30" t="str">
        <f t="shared" si="1"/>
        <v>未通过／未参加</v>
      </c>
      <c r="Y6" s="30" t="str">
        <f t="shared" si="1"/>
        <v>未通过／未参加</v>
      </c>
      <c r="Z6" s="30" t="str">
        <f t="shared" si="1"/>
        <v>未通过／未参加</v>
      </c>
    </row>
  </sheetData>
  <sheetProtection algorithmName="SHA-512" hashValue="t9BQ6oIB5v1UtGflOhTerB7rwa3JhFWGvh/ux7PGmtK5VLuvApMblKyHbVWkwzXpftf+TmT/idteNs8loDLHxQ==" saltValue="N+cG1EVrVDL0uqMDXQL8wQ==" spinCount="100000" sheet="1" selectLockedCells="1"/>
  <mergeCells count="1">
    <mergeCell ref="A1:B1"/>
  </mergeCells>
  <conditionalFormatting sqref="C6:Z6">
    <cfRule type="cellIs" dxfId="11" priority="1" operator="equal">
      <formula>"通过"</formula>
    </cfRule>
    <cfRule type="cellIs" dxfId="10" priority="2" operator="equal">
      <formula>"PASS"</formula>
    </cfRule>
    <cfRule type="cellIs" dxfId="9" priority="3" operator="equal">
      <formula>"FAIL"</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1F83C-2E82-DF48-9973-A8E891D70F39}">
  <dimension ref="A1:Z6"/>
  <sheetViews>
    <sheetView showGridLines="0" workbookViewId="0">
      <pane xSplit="2" topLeftCell="C1" activePane="topRight" state="frozen"/>
      <selection pane="topRight" activeCell="C3" sqref="C3"/>
    </sheetView>
  </sheetViews>
  <sheetFormatPr baseColWidth="10" defaultColWidth="11" defaultRowHeight="50" customHeight="1"/>
  <cols>
    <col min="1" max="1" width="63.83203125" customWidth="1"/>
    <col min="2" max="26" width="20.83203125" customWidth="1"/>
  </cols>
  <sheetData>
    <row r="1" spans="1:26" ht="50" customHeight="1">
      <c r="A1" s="54" t="s">
        <v>76</v>
      </c>
      <c r="B1" s="54"/>
      <c r="C1" s="28" t="str">
        <f>学员姓名!B2</f>
        <v>学生 1</v>
      </c>
      <c r="D1" s="28" t="str">
        <f>学员姓名!B3</f>
        <v>学生 2</v>
      </c>
      <c r="E1" s="28" t="str">
        <f>学员姓名!B4</f>
        <v>学生 3</v>
      </c>
      <c r="F1" s="28" t="str">
        <f>学员姓名!B5</f>
        <v>学生 4</v>
      </c>
      <c r="G1" s="28" t="str">
        <f>学员姓名!B6</f>
        <v>学生 5</v>
      </c>
      <c r="H1" s="28" t="str">
        <f>学员姓名!B7</f>
        <v>学生 6</v>
      </c>
      <c r="I1" s="28" t="str">
        <f>学员姓名!B8</f>
        <v>学生 7</v>
      </c>
      <c r="J1" s="28" t="str">
        <f>学员姓名!B9</f>
        <v>学生 8</v>
      </c>
      <c r="K1" s="28" t="str">
        <f>学员姓名!B10</f>
        <v>学生 9</v>
      </c>
      <c r="L1" s="28" t="str">
        <f>学员姓名!B11</f>
        <v>学生 10</v>
      </c>
      <c r="M1" s="28" t="str">
        <f>学员姓名!B12</f>
        <v>学生 11</v>
      </c>
      <c r="N1" s="28" t="str">
        <f>学员姓名!B13</f>
        <v>学生 12</v>
      </c>
      <c r="O1" s="28" t="str">
        <f>学员姓名!B14</f>
        <v>学生 13</v>
      </c>
      <c r="P1" s="28" t="str">
        <f>学员姓名!B15</f>
        <v>学生 14</v>
      </c>
      <c r="Q1" s="28" t="str">
        <f>学员姓名!B16</f>
        <v>学生 15</v>
      </c>
      <c r="R1" s="28" t="str">
        <f>学员姓名!B17</f>
        <v>学生 16</v>
      </c>
      <c r="S1" s="28" t="str">
        <f>学员姓名!B18</f>
        <v>学生 17</v>
      </c>
      <c r="T1" s="28" t="str">
        <f>学员姓名!B19</f>
        <v>学生 18</v>
      </c>
      <c r="U1" s="28" t="str">
        <f>学员姓名!B20</f>
        <v>学生 19</v>
      </c>
      <c r="V1" s="28" t="str">
        <f>学员姓名!B21</f>
        <v>学生 20</v>
      </c>
      <c r="W1" s="28" t="str">
        <f>学员姓名!B22</f>
        <v>学生 21</v>
      </c>
      <c r="X1" s="28" t="str">
        <f>学员姓名!B23</f>
        <v>学生 22</v>
      </c>
      <c r="Y1" s="28" t="str">
        <f>学员姓名!B24</f>
        <v>学生 23</v>
      </c>
      <c r="Z1" s="28" t="str">
        <f>学员姓名!B25</f>
        <v>学生 24</v>
      </c>
    </row>
    <row r="2" spans="1:26" ht="30" customHeight="1" thickBot="1">
      <c r="A2" s="37"/>
      <c r="B2" s="16" t="s">
        <v>47</v>
      </c>
      <c r="C2" s="14"/>
      <c r="D2" s="14"/>
      <c r="E2" s="14"/>
      <c r="F2" s="14"/>
      <c r="G2" s="14"/>
      <c r="H2" s="14"/>
      <c r="I2" s="14"/>
      <c r="J2" s="14"/>
      <c r="K2" s="14"/>
      <c r="L2" s="14"/>
      <c r="M2" s="14"/>
      <c r="N2" s="14"/>
      <c r="O2" s="14"/>
      <c r="P2" s="14"/>
      <c r="Q2" s="14"/>
      <c r="R2" s="14"/>
      <c r="S2" s="14"/>
      <c r="T2" s="14"/>
      <c r="U2" s="14"/>
      <c r="V2" s="14"/>
      <c r="W2" s="14"/>
      <c r="X2" s="14"/>
      <c r="Y2" s="14"/>
      <c r="Z2" s="14"/>
    </row>
    <row r="3" spans="1:26" ht="50" customHeight="1">
      <c r="A3" s="36" t="s">
        <v>83</v>
      </c>
      <c r="B3" s="30">
        <v>18</v>
      </c>
      <c r="C3" s="35"/>
      <c r="D3" s="35"/>
      <c r="E3" s="35"/>
      <c r="F3" s="35"/>
      <c r="G3" s="35"/>
      <c r="H3" s="35"/>
      <c r="I3" s="35"/>
      <c r="J3" s="35"/>
      <c r="K3" s="35"/>
      <c r="L3" s="35"/>
      <c r="M3" s="35"/>
      <c r="N3" s="35"/>
      <c r="O3" s="35"/>
      <c r="P3" s="35"/>
      <c r="Q3" s="35"/>
      <c r="R3" s="35"/>
      <c r="S3" s="35"/>
      <c r="T3" s="35"/>
      <c r="U3" s="35"/>
      <c r="V3" s="35"/>
      <c r="W3" s="35"/>
      <c r="X3" s="35"/>
      <c r="Y3" s="35"/>
      <c r="Z3" s="35"/>
    </row>
    <row r="4" spans="1:26" ht="50" customHeight="1">
      <c r="A4" s="27" t="s">
        <v>84</v>
      </c>
      <c r="B4" s="10">
        <v>32</v>
      </c>
      <c r="C4" s="35"/>
      <c r="D4" s="35"/>
      <c r="E4" s="35"/>
      <c r="F4" s="35"/>
      <c r="G4" s="35"/>
      <c r="H4" s="35"/>
      <c r="I4" s="35"/>
      <c r="J4" s="35"/>
      <c r="K4" s="35"/>
      <c r="L4" s="35"/>
      <c r="M4" s="35"/>
      <c r="N4" s="35"/>
      <c r="O4" s="35"/>
      <c r="P4" s="35"/>
      <c r="Q4" s="35"/>
      <c r="R4" s="35"/>
      <c r="S4" s="35"/>
      <c r="T4" s="35"/>
      <c r="U4" s="35"/>
      <c r="V4" s="35"/>
      <c r="W4" s="35"/>
      <c r="X4" s="35"/>
      <c r="Y4" s="35"/>
      <c r="Z4" s="35"/>
    </row>
    <row r="5" spans="1:26" ht="50" customHeight="1" thickBot="1">
      <c r="A5" s="38" t="s">
        <v>63</v>
      </c>
      <c r="B5" s="31">
        <v>50</v>
      </c>
      <c r="C5" s="31">
        <f>SUM(C3:C4)</f>
        <v>0</v>
      </c>
      <c r="D5" s="31">
        <f t="shared" ref="D5:Z5" si="0">SUM(D3:D4)</f>
        <v>0</v>
      </c>
      <c r="E5" s="31">
        <f t="shared" si="0"/>
        <v>0</v>
      </c>
      <c r="F5" s="31">
        <f t="shared" si="0"/>
        <v>0</v>
      </c>
      <c r="G5" s="31">
        <f t="shared" si="0"/>
        <v>0</v>
      </c>
      <c r="H5" s="31">
        <f t="shared" si="0"/>
        <v>0</v>
      </c>
      <c r="I5" s="31">
        <f t="shared" si="0"/>
        <v>0</v>
      </c>
      <c r="J5" s="31">
        <f t="shared" si="0"/>
        <v>0</v>
      </c>
      <c r="K5" s="31">
        <f t="shared" si="0"/>
        <v>0</v>
      </c>
      <c r="L5" s="31">
        <f t="shared" si="0"/>
        <v>0</v>
      </c>
      <c r="M5" s="31">
        <f t="shared" si="0"/>
        <v>0</v>
      </c>
      <c r="N5" s="31">
        <f t="shared" si="0"/>
        <v>0</v>
      </c>
      <c r="O5" s="31">
        <f t="shared" si="0"/>
        <v>0</v>
      </c>
      <c r="P5" s="31">
        <f t="shared" si="0"/>
        <v>0</v>
      </c>
      <c r="Q5" s="31">
        <f t="shared" si="0"/>
        <v>0</v>
      </c>
      <c r="R5" s="31">
        <f t="shared" si="0"/>
        <v>0</v>
      </c>
      <c r="S5" s="31">
        <f t="shared" si="0"/>
        <v>0</v>
      </c>
      <c r="T5" s="31">
        <f t="shared" si="0"/>
        <v>0</v>
      </c>
      <c r="U5" s="31">
        <f t="shared" si="0"/>
        <v>0</v>
      </c>
      <c r="V5" s="31">
        <f t="shared" si="0"/>
        <v>0</v>
      </c>
      <c r="W5" s="31">
        <f t="shared" si="0"/>
        <v>0</v>
      </c>
      <c r="X5" s="31">
        <f t="shared" si="0"/>
        <v>0</v>
      </c>
      <c r="Y5" s="31">
        <f t="shared" si="0"/>
        <v>0</v>
      </c>
      <c r="Z5" s="31">
        <f t="shared" si="0"/>
        <v>0</v>
      </c>
    </row>
    <row r="6" spans="1:26" ht="50" customHeight="1">
      <c r="A6" s="32" t="s">
        <v>64</v>
      </c>
      <c r="B6" s="30">
        <v>40</v>
      </c>
      <c r="C6" s="30" t="str">
        <f>IF(C5&gt;=$B$6,"通过","未通过／未参加")</f>
        <v>未通过／未参加</v>
      </c>
      <c r="D6" s="30" t="str">
        <f t="shared" ref="D6:Z6" si="1">IF(D5&gt;=$B$6,"通过","未通过／未参加")</f>
        <v>未通过／未参加</v>
      </c>
      <c r="E6" s="30" t="str">
        <f t="shared" si="1"/>
        <v>未通过／未参加</v>
      </c>
      <c r="F6" s="30" t="str">
        <f t="shared" si="1"/>
        <v>未通过／未参加</v>
      </c>
      <c r="G6" s="30" t="str">
        <f t="shared" si="1"/>
        <v>未通过／未参加</v>
      </c>
      <c r="H6" s="30" t="str">
        <f t="shared" si="1"/>
        <v>未通过／未参加</v>
      </c>
      <c r="I6" s="30" t="str">
        <f t="shared" si="1"/>
        <v>未通过／未参加</v>
      </c>
      <c r="J6" s="30" t="str">
        <f t="shared" si="1"/>
        <v>未通过／未参加</v>
      </c>
      <c r="K6" s="30" t="str">
        <f t="shared" si="1"/>
        <v>未通过／未参加</v>
      </c>
      <c r="L6" s="30" t="str">
        <f t="shared" si="1"/>
        <v>未通过／未参加</v>
      </c>
      <c r="M6" s="30" t="str">
        <f t="shared" si="1"/>
        <v>未通过／未参加</v>
      </c>
      <c r="N6" s="30" t="str">
        <f t="shared" si="1"/>
        <v>未通过／未参加</v>
      </c>
      <c r="O6" s="30" t="str">
        <f t="shared" si="1"/>
        <v>未通过／未参加</v>
      </c>
      <c r="P6" s="30" t="str">
        <f t="shared" si="1"/>
        <v>未通过／未参加</v>
      </c>
      <c r="Q6" s="30" t="str">
        <f t="shared" si="1"/>
        <v>未通过／未参加</v>
      </c>
      <c r="R6" s="30" t="str">
        <f t="shared" si="1"/>
        <v>未通过／未参加</v>
      </c>
      <c r="S6" s="30" t="str">
        <f t="shared" si="1"/>
        <v>未通过／未参加</v>
      </c>
      <c r="T6" s="30" t="str">
        <f t="shared" si="1"/>
        <v>未通过／未参加</v>
      </c>
      <c r="U6" s="30" t="str">
        <f t="shared" si="1"/>
        <v>未通过／未参加</v>
      </c>
      <c r="V6" s="30" t="str">
        <f t="shared" si="1"/>
        <v>未通过／未参加</v>
      </c>
      <c r="W6" s="30" t="str">
        <f t="shared" si="1"/>
        <v>未通过／未参加</v>
      </c>
      <c r="X6" s="30" t="str">
        <f t="shared" si="1"/>
        <v>未通过／未参加</v>
      </c>
      <c r="Y6" s="30" t="str">
        <f t="shared" si="1"/>
        <v>未通过／未参加</v>
      </c>
      <c r="Z6" s="30" t="str">
        <f t="shared" si="1"/>
        <v>未通过／未参加</v>
      </c>
    </row>
  </sheetData>
  <sheetProtection algorithmName="SHA-512" hashValue="gjc2P8gICzdKqndSEgTbx6LwICaWDGV9Nleo9tzLO3LxIfBVBVDQp0+AXNQ3tsNutAsHzD9i+u4oO5dUoMb0nw==" saltValue="SmAi82TkJjnatzMVJ1v1EA==" spinCount="100000" sheet="1" selectLockedCells="1"/>
  <mergeCells count="1">
    <mergeCell ref="A1:B1"/>
  </mergeCells>
  <conditionalFormatting sqref="C6:Z6">
    <cfRule type="cellIs" dxfId="8" priority="1" operator="equal">
      <formula>"通过"</formula>
    </cfRule>
    <cfRule type="cellIs" dxfId="7" priority="2" operator="equal">
      <formula>"PASS"</formula>
    </cfRule>
    <cfRule type="cellIs" dxfId="6" priority="3" operator="equal">
      <formula>"FAIL"</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24A34-5838-204E-A289-EBD2C43C3AE8}">
  <dimension ref="A1:Z9"/>
  <sheetViews>
    <sheetView showGridLines="0" workbookViewId="0">
      <pane xSplit="2" topLeftCell="C1" activePane="topRight" state="frozen"/>
      <selection pane="topRight" activeCell="D7" sqref="D7"/>
    </sheetView>
  </sheetViews>
  <sheetFormatPr baseColWidth="10" defaultColWidth="10.83203125" defaultRowHeight="50" customHeight="1"/>
  <cols>
    <col min="1" max="1" width="63.83203125" style="1" customWidth="1"/>
    <col min="2" max="26" width="20.83203125" style="1" customWidth="1"/>
    <col min="27" max="16384" width="10.83203125" style="1"/>
  </cols>
  <sheetData>
    <row r="1" spans="1:26" ht="50" customHeight="1">
      <c r="A1" s="54" t="s">
        <v>77</v>
      </c>
      <c r="B1" s="54"/>
      <c r="C1" s="28" t="str">
        <f>学员姓名!B2</f>
        <v>学生 1</v>
      </c>
      <c r="D1" s="28" t="str">
        <f>学员姓名!B3</f>
        <v>学生 2</v>
      </c>
      <c r="E1" s="28" t="str">
        <f>学员姓名!B4</f>
        <v>学生 3</v>
      </c>
      <c r="F1" s="28" t="str">
        <f>学员姓名!B5</f>
        <v>学生 4</v>
      </c>
      <c r="G1" s="28" t="str">
        <f>学员姓名!B6</f>
        <v>学生 5</v>
      </c>
      <c r="H1" s="28" t="str">
        <f>学员姓名!B7</f>
        <v>学生 6</v>
      </c>
      <c r="I1" s="28" t="str">
        <f>学员姓名!B8</f>
        <v>学生 7</v>
      </c>
      <c r="J1" s="28" t="str">
        <f>学员姓名!B9</f>
        <v>学生 8</v>
      </c>
      <c r="K1" s="28" t="str">
        <f>学员姓名!B10</f>
        <v>学生 9</v>
      </c>
      <c r="L1" s="28" t="str">
        <f>学员姓名!B11</f>
        <v>学生 10</v>
      </c>
      <c r="M1" s="28" t="str">
        <f>学员姓名!B12</f>
        <v>学生 11</v>
      </c>
      <c r="N1" s="28" t="str">
        <f>学员姓名!B13</f>
        <v>学生 12</v>
      </c>
      <c r="O1" s="28" t="str">
        <f>学员姓名!B14</f>
        <v>学生 13</v>
      </c>
      <c r="P1" s="28" t="str">
        <f>学员姓名!B15</f>
        <v>学生 14</v>
      </c>
      <c r="Q1" s="28" t="str">
        <f>学员姓名!B16</f>
        <v>学生 15</v>
      </c>
      <c r="R1" s="28" t="str">
        <f>学员姓名!B17</f>
        <v>学生 16</v>
      </c>
      <c r="S1" s="28" t="str">
        <f>学员姓名!B18</f>
        <v>学生 17</v>
      </c>
      <c r="T1" s="28" t="str">
        <f>学员姓名!B19</f>
        <v>学生 18</v>
      </c>
      <c r="U1" s="28" t="str">
        <f>学员姓名!B20</f>
        <v>学生 19</v>
      </c>
      <c r="V1" s="28" t="str">
        <f>学员姓名!B21</f>
        <v>学生 20</v>
      </c>
      <c r="W1" s="28" t="str">
        <f>学员姓名!B22</f>
        <v>学生 21</v>
      </c>
      <c r="X1" s="28" t="str">
        <f>学员姓名!B23</f>
        <v>学生 22</v>
      </c>
      <c r="Y1" s="28" t="str">
        <f>学员姓名!B24</f>
        <v>学生 23</v>
      </c>
      <c r="Z1" s="28" t="str">
        <f>学员姓名!B25</f>
        <v>学生 24</v>
      </c>
    </row>
    <row r="2" spans="1:26" ht="30" customHeight="1" thickBot="1">
      <c r="A2" s="15" t="s">
        <v>46</v>
      </c>
      <c r="B2" s="16" t="s">
        <v>47</v>
      </c>
      <c r="C2" s="14"/>
      <c r="D2" s="14"/>
      <c r="E2" s="14"/>
      <c r="F2" s="14"/>
      <c r="G2" s="14"/>
      <c r="H2" s="14"/>
      <c r="I2" s="14"/>
      <c r="J2" s="14"/>
      <c r="K2" s="14"/>
      <c r="L2" s="14"/>
      <c r="M2" s="14"/>
      <c r="N2" s="14"/>
      <c r="O2" s="14"/>
      <c r="P2" s="14"/>
      <c r="Q2" s="14"/>
      <c r="R2" s="14"/>
      <c r="S2" s="14"/>
      <c r="T2" s="14"/>
      <c r="U2" s="14"/>
      <c r="V2" s="14"/>
      <c r="W2" s="14"/>
      <c r="X2" s="14"/>
      <c r="Y2" s="14"/>
      <c r="Z2" s="14"/>
    </row>
    <row r="3" spans="1:26" ht="50" customHeight="1">
      <c r="A3" s="36" t="s">
        <v>85</v>
      </c>
      <c r="B3" s="30">
        <v>6</v>
      </c>
      <c r="C3" s="35"/>
      <c r="D3" s="35"/>
      <c r="E3" s="35"/>
      <c r="F3" s="35"/>
      <c r="G3" s="35"/>
      <c r="H3" s="35"/>
      <c r="I3" s="35"/>
      <c r="J3" s="35"/>
      <c r="K3" s="35"/>
      <c r="L3" s="35"/>
      <c r="M3" s="35"/>
      <c r="N3" s="35"/>
      <c r="O3" s="35"/>
      <c r="P3" s="35"/>
      <c r="Q3" s="35"/>
      <c r="R3" s="35"/>
      <c r="S3" s="35"/>
      <c r="T3" s="35"/>
      <c r="U3" s="35"/>
      <c r="V3" s="35"/>
      <c r="W3" s="35"/>
      <c r="X3" s="35"/>
      <c r="Y3" s="35"/>
      <c r="Z3" s="35"/>
    </row>
    <row r="4" spans="1:26" ht="50" customHeight="1">
      <c r="A4" s="27" t="s">
        <v>86</v>
      </c>
      <c r="B4" s="10">
        <v>8</v>
      </c>
      <c r="C4" s="35"/>
      <c r="D4" s="35"/>
      <c r="E4" s="35"/>
      <c r="F4" s="35"/>
      <c r="G4" s="35"/>
      <c r="H4" s="35"/>
      <c r="I4" s="35"/>
      <c r="J4" s="35"/>
      <c r="K4" s="35"/>
      <c r="L4" s="35"/>
      <c r="M4" s="35"/>
      <c r="N4" s="35"/>
      <c r="O4" s="35"/>
      <c r="P4" s="35"/>
      <c r="Q4" s="35"/>
      <c r="R4" s="35"/>
      <c r="S4" s="35"/>
      <c r="T4" s="35"/>
      <c r="U4" s="35"/>
      <c r="V4" s="35"/>
      <c r="W4" s="35"/>
      <c r="X4" s="35"/>
      <c r="Y4" s="35"/>
      <c r="Z4" s="35"/>
    </row>
    <row r="5" spans="1:26" ht="50" customHeight="1">
      <c r="A5" s="27" t="s">
        <v>87</v>
      </c>
      <c r="B5" s="10">
        <v>18</v>
      </c>
      <c r="C5" s="35"/>
      <c r="D5" s="35"/>
      <c r="E5" s="35"/>
      <c r="F5" s="35"/>
      <c r="G5" s="35"/>
      <c r="H5" s="35"/>
      <c r="I5" s="35"/>
      <c r="J5" s="35"/>
      <c r="K5" s="35"/>
      <c r="L5" s="35"/>
      <c r="M5" s="35"/>
      <c r="N5" s="35"/>
      <c r="O5" s="35"/>
      <c r="P5" s="35"/>
      <c r="Q5" s="35"/>
      <c r="R5" s="35"/>
      <c r="S5" s="35"/>
      <c r="T5" s="35"/>
      <c r="U5" s="35"/>
      <c r="V5" s="35"/>
      <c r="W5" s="35"/>
      <c r="X5" s="35"/>
      <c r="Y5" s="35"/>
      <c r="Z5" s="35"/>
    </row>
    <row r="6" spans="1:26" ht="50" customHeight="1">
      <c r="A6" s="27" t="s">
        <v>88</v>
      </c>
      <c r="B6" s="10">
        <v>6</v>
      </c>
      <c r="C6" s="35"/>
      <c r="D6" s="35"/>
      <c r="E6" s="35"/>
      <c r="F6" s="35"/>
      <c r="G6" s="35"/>
      <c r="H6" s="35"/>
      <c r="I6" s="35"/>
      <c r="J6" s="35"/>
      <c r="K6" s="35"/>
      <c r="L6" s="35"/>
      <c r="M6" s="35"/>
      <c r="N6" s="35"/>
      <c r="O6" s="35"/>
      <c r="P6" s="35"/>
      <c r="Q6" s="35"/>
      <c r="R6" s="35"/>
      <c r="S6" s="35"/>
      <c r="T6" s="35"/>
      <c r="U6" s="35"/>
      <c r="V6" s="35"/>
      <c r="W6" s="35"/>
      <c r="X6" s="35"/>
      <c r="Y6" s="35"/>
      <c r="Z6" s="35"/>
    </row>
    <row r="7" spans="1:26" ht="50" customHeight="1">
      <c r="A7" s="27" t="s">
        <v>89</v>
      </c>
      <c r="B7" s="10">
        <v>12</v>
      </c>
      <c r="C7" s="35"/>
      <c r="D7" s="35"/>
      <c r="E7" s="35"/>
      <c r="F7" s="35"/>
      <c r="G7" s="35"/>
      <c r="H7" s="35"/>
      <c r="I7" s="35"/>
      <c r="J7" s="35"/>
      <c r="K7" s="35"/>
      <c r="L7" s="35"/>
      <c r="M7" s="35"/>
      <c r="N7" s="35"/>
      <c r="O7" s="35"/>
      <c r="P7" s="35"/>
      <c r="Q7" s="35"/>
      <c r="R7" s="35"/>
      <c r="S7" s="35"/>
      <c r="T7" s="35"/>
      <c r="U7" s="35"/>
      <c r="V7" s="35"/>
      <c r="W7" s="35"/>
      <c r="X7" s="35"/>
      <c r="Y7" s="35"/>
      <c r="Z7" s="35"/>
    </row>
    <row r="8" spans="1:26" ht="50" customHeight="1" thickBot="1">
      <c r="A8" s="38" t="s">
        <v>63</v>
      </c>
      <c r="B8" s="31">
        <v>50</v>
      </c>
      <c r="C8" s="31">
        <f>SUM(C3:C7)</f>
        <v>0</v>
      </c>
      <c r="D8" s="31">
        <f t="shared" ref="D8:Z8" si="0">SUM(D3:D7)</f>
        <v>0</v>
      </c>
      <c r="E8" s="31">
        <f t="shared" si="0"/>
        <v>0</v>
      </c>
      <c r="F8" s="31">
        <f t="shared" si="0"/>
        <v>0</v>
      </c>
      <c r="G8" s="31">
        <f t="shared" si="0"/>
        <v>0</v>
      </c>
      <c r="H8" s="31">
        <f t="shared" si="0"/>
        <v>0</v>
      </c>
      <c r="I8" s="31">
        <f t="shared" si="0"/>
        <v>0</v>
      </c>
      <c r="J8" s="31">
        <f t="shared" si="0"/>
        <v>0</v>
      </c>
      <c r="K8" s="31">
        <f t="shared" si="0"/>
        <v>0</v>
      </c>
      <c r="L8" s="31">
        <f t="shared" si="0"/>
        <v>0</v>
      </c>
      <c r="M8" s="31">
        <f t="shared" si="0"/>
        <v>0</v>
      </c>
      <c r="N8" s="31">
        <f t="shared" si="0"/>
        <v>0</v>
      </c>
      <c r="O8" s="31">
        <f t="shared" si="0"/>
        <v>0</v>
      </c>
      <c r="P8" s="31">
        <f t="shared" si="0"/>
        <v>0</v>
      </c>
      <c r="Q8" s="31">
        <f t="shared" si="0"/>
        <v>0</v>
      </c>
      <c r="R8" s="31">
        <f t="shared" si="0"/>
        <v>0</v>
      </c>
      <c r="S8" s="31">
        <f t="shared" si="0"/>
        <v>0</v>
      </c>
      <c r="T8" s="31">
        <f t="shared" si="0"/>
        <v>0</v>
      </c>
      <c r="U8" s="31">
        <f t="shared" si="0"/>
        <v>0</v>
      </c>
      <c r="V8" s="31">
        <f t="shared" si="0"/>
        <v>0</v>
      </c>
      <c r="W8" s="31">
        <f t="shared" si="0"/>
        <v>0</v>
      </c>
      <c r="X8" s="31">
        <f t="shared" si="0"/>
        <v>0</v>
      </c>
      <c r="Y8" s="31">
        <f t="shared" si="0"/>
        <v>0</v>
      </c>
      <c r="Z8" s="31">
        <f t="shared" si="0"/>
        <v>0</v>
      </c>
    </row>
    <row r="9" spans="1:26" ht="50" customHeight="1">
      <c r="A9" s="32" t="s">
        <v>64</v>
      </c>
      <c r="B9" s="30">
        <v>40</v>
      </c>
      <c r="C9" s="30" t="str">
        <f>IF(C8&gt;=$B$9,"通过","未通过／未参加")</f>
        <v>未通过／未参加</v>
      </c>
      <c r="D9" s="30" t="str">
        <f t="shared" ref="D9:Z9" si="1">IF(D8&gt;=$B$9,"通过","未通过／未参加")</f>
        <v>未通过／未参加</v>
      </c>
      <c r="E9" s="30" t="str">
        <f t="shared" si="1"/>
        <v>未通过／未参加</v>
      </c>
      <c r="F9" s="30" t="str">
        <f t="shared" si="1"/>
        <v>未通过／未参加</v>
      </c>
      <c r="G9" s="30" t="str">
        <f t="shared" si="1"/>
        <v>未通过／未参加</v>
      </c>
      <c r="H9" s="30" t="str">
        <f t="shared" si="1"/>
        <v>未通过／未参加</v>
      </c>
      <c r="I9" s="30" t="str">
        <f t="shared" si="1"/>
        <v>未通过／未参加</v>
      </c>
      <c r="J9" s="30" t="str">
        <f t="shared" si="1"/>
        <v>未通过／未参加</v>
      </c>
      <c r="K9" s="30" t="str">
        <f t="shared" si="1"/>
        <v>未通过／未参加</v>
      </c>
      <c r="L9" s="30" t="str">
        <f t="shared" si="1"/>
        <v>未通过／未参加</v>
      </c>
      <c r="M9" s="30" t="str">
        <f t="shared" si="1"/>
        <v>未通过／未参加</v>
      </c>
      <c r="N9" s="30" t="str">
        <f t="shared" si="1"/>
        <v>未通过／未参加</v>
      </c>
      <c r="O9" s="30" t="str">
        <f t="shared" si="1"/>
        <v>未通过／未参加</v>
      </c>
      <c r="P9" s="30" t="str">
        <f t="shared" si="1"/>
        <v>未通过／未参加</v>
      </c>
      <c r="Q9" s="30" t="str">
        <f t="shared" si="1"/>
        <v>未通过／未参加</v>
      </c>
      <c r="R9" s="30" t="str">
        <f t="shared" si="1"/>
        <v>未通过／未参加</v>
      </c>
      <c r="S9" s="30" t="str">
        <f t="shared" si="1"/>
        <v>未通过／未参加</v>
      </c>
      <c r="T9" s="30" t="str">
        <f t="shared" si="1"/>
        <v>未通过／未参加</v>
      </c>
      <c r="U9" s="30" t="str">
        <f t="shared" si="1"/>
        <v>未通过／未参加</v>
      </c>
      <c r="V9" s="30" t="str">
        <f t="shared" si="1"/>
        <v>未通过／未参加</v>
      </c>
      <c r="W9" s="30" t="str">
        <f t="shared" si="1"/>
        <v>未通过／未参加</v>
      </c>
      <c r="X9" s="30" t="str">
        <f t="shared" si="1"/>
        <v>未通过／未参加</v>
      </c>
      <c r="Y9" s="30" t="str">
        <f t="shared" si="1"/>
        <v>未通过／未参加</v>
      </c>
      <c r="Z9" s="30" t="str">
        <f t="shared" si="1"/>
        <v>未通过／未参加</v>
      </c>
    </row>
  </sheetData>
  <sheetProtection algorithmName="SHA-512" hashValue="z1nEuNQFD0Xz1tdD28m2p04lxwADXBZYkoFLKcVlGghlMpC68B9I0tfbbrpmz+u+gkve9btbEAWukXho9Eg2AA==" saltValue="Sp/PxL8CT1E254hgtPzZCw==" spinCount="100000" sheet="1" selectLockedCells="1"/>
  <mergeCells count="1">
    <mergeCell ref="A1:B1"/>
  </mergeCells>
  <conditionalFormatting sqref="C9:Z9">
    <cfRule type="cellIs" dxfId="5" priority="1" operator="equal">
      <formula>"通过"</formula>
    </cfRule>
    <cfRule type="cellIs" dxfId="4" priority="2" operator="equal">
      <formula>"PASS"</formula>
    </cfRule>
    <cfRule type="cellIs" dxfId="3" priority="3" operator="equal">
      <formula>"FAIL"</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63199-357D-024C-AD9C-742F971842CB}">
  <dimension ref="A1:Z9"/>
  <sheetViews>
    <sheetView showGridLines="0" workbookViewId="0">
      <pane xSplit="2" topLeftCell="C1" activePane="topRight" state="frozen"/>
      <selection pane="topRight" activeCell="C3" sqref="C3"/>
    </sheetView>
  </sheetViews>
  <sheetFormatPr baseColWidth="10" defaultColWidth="10.83203125" defaultRowHeight="50" customHeight="1"/>
  <cols>
    <col min="1" max="1" width="63.83203125" style="1" customWidth="1"/>
    <col min="2" max="26" width="20.83203125" style="1" customWidth="1"/>
    <col min="27" max="16384" width="10.83203125" style="1"/>
  </cols>
  <sheetData>
    <row r="1" spans="1:26" ht="50" customHeight="1">
      <c r="A1" s="54" t="s">
        <v>78</v>
      </c>
      <c r="B1" s="54"/>
      <c r="C1" s="28" t="str">
        <f>学员姓名!B2</f>
        <v>学生 1</v>
      </c>
      <c r="D1" s="28" t="str">
        <f>学员姓名!B3</f>
        <v>学生 2</v>
      </c>
      <c r="E1" s="28" t="str">
        <f>学员姓名!B4</f>
        <v>学生 3</v>
      </c>
      <c r="F1" s="28" t="str">
        <f>学员姓名!B5</f>
        <v>学生 4</v>
      </c>
      <c r="G1" s="28" t="str">
        <f>学员姓名!B6</f>
        <v>学生 5</v>
      </c>
      <c r="H1" s="28" t="str">
        <f>学员姓名!B7</f>
        <v>学生 6</v>
      </c>
      <c r="I1" s="28" t="str">
        <f>学员姓名!B8</f>
        <v>学生 7</v>
      </c>
      <c r="J1" s="28" t="str">
        <f>学员姓名!B9</f>
        <v>学生 8</v>
      </c>
      <c r="K1" s="28" t="str">
        <f>学员姓名!B10</f>
        <v>学生 9</v>
      </c>
      <c r="L1" s="28" t="str">
        <f>学员姓名!B11</f>
        <v>学生 10</v>
      </c>
      <c r="M1" s="28" t="str">
        <f>学员姓名!B12</f>
        <v>学生 11</v>
      </c>
      <c r="N1" s="28" t="str">
        <f>学员姓名!B13</f>
        <v>学生 12</v>
      </c>
      <c r="O1" s="28" t="str">
        <f>学员姓名!B14</f>
        <v>学生 13</v>
      </c>
      <c r="P1" s="28" t="str">
        <f>学员姓名!B15</f>
        <v>学生 14</v>
      </c>
      <c r="Q1" s="28" t="str">
        <f>学员姓名!B16</f>
        <v>学生 15</v>
      </c>
      <c r="R1" s="28" t="str">
        <f>学员姓名!B17</f>
        <v>学生 16</v>
      </c>
      <c r="S1" s="28" t="str">
        <f>学员姓名!B18</f>
        <v>学生 17</v>
      </c>
      <c r="T1" s="28" t="str">
        <f>学员姓名!B19</f>
        <v>学生 18</v>
      </c>
      <c r="U1" s="28" t="str">
        <f>学员姓名!B20</f>
        <v>学生 19</v>
      </c>
      <c r="V1" s="28" t="str">
        <f>学员姓名!B21</f>
        <v>学生 20</v>
      </c>
      <c r="W1" s="28" t="str">
        <f>学员姓名!B22</f>
        <v>学生 21</v>
      </c>
      <c r="X1" s="28" t="str">
        <f>学员姓名!B23</f>
        <v>学生 22</v>
      </c>
      <c r="Y1" s="28" t="str">
        <f>学员姓名!B24</f>
        <v>学生 23</v>
      </c>
      <c r="Z1" s="28" t="str">
        <f>学员姓名!B25</f>
        <v>学生 24</v>
      </c>
    </row>
    <row r="2" spans="1:26" ht="30" customHeight="1" thickBot="1">
      <c r="A2" s="15" t="s">
        <v>46</v>
      </c>
      <c r="B2" s="16" t="s">
        <v>47</v>
      </c>
      <c r="C2" s="14"/>
      <c r="D2" s="14"/>
      <c r="E2" s="14"/>
      <c r="F2" s="14"/>
      <c r="G2" s="14"/>
      <c r="H2" s="14"/>
      <c r="I2" s="14"/>
      <c r="J2" s="14"/>
      <c r="K2" s="14"/>
      <c r="L2" s="14"/>
      <c r="M2" s="14"/>
      <c r="N2" s="14"/>
      <c r="O2" s="14"/>
      <c r="P2" s="14"/>
      <c r="Q2" s="14"/>
      <c r="R2" s="14"/>
      <c r="S2" s="14"/>
      <c r="T2" s="14"/>
      <c r="U2" s="14"/>
      <c r="V2" s="14"/>
      <c r="W2" s="14"/>
      <c r="X2" s="14"/>
      <c r="Y2" s="14"/>
      <c r="Z2" s="14"/>
    </row>
    <row r="3" spans="1:26" ht="50" customHeight="1">
      <c r="A3" s="36" t="s">
        <v>85</v>
      </c>
      <c r="B3" s="30">
        <v>6</v>
      </c>
      <c r="C3" s="35"/>
      <c r="D3" s="35"/>
      <c r="E3" s="35"/>
      <c r="F3" s="35"/>
      <c r="G3" s="35"/>
      <c r="H3" s="35"/>
      <c r="I3" s="35"/>
      <c r="J3" s="35"/>
      <c r="K3" s="35"/>
      <c r="L3" s="35"/>
      <c r="M3" s="35"/>
      <c r="N3" s="35"/>
      <c r="O3" s="35"/>
      <c r="P3" s="35"/>
      <c r="Q3" s="35"/>
      <c r="R3" s="35"/>
      <c r="S3" s="35"/>
      <c r="T3" s="35"/>
      <c r="U3" s="35"/>
      <c r="V3" s="35"/>
      <c r="W3" s="35"/>
      <c r="X3" s="35"/>
      <c r="Y3" s="35"/>
      <c r="Z3" s="35"/>
    </row>
    <row r="4" spans="1:26" ht="50" customHeight="1">
      <c r="A4" s="27" t="s">
        <v>86</v>
      </c>
      <c r="B4" s="10">
        <v>8</v>
      </c>
      <c r="C4" s="35"/>
      <c r="D4" s="35"/>
      <c r="E4" s="35"/>
      <c r="F4" s="35"/>
      <c r="G4" s="35"/>
      <c r="H4" s="35"/>
      <c r="I4" s="35"/>
      <c r="J4" s="35"/>
      <c r="K4" s="35"/>
      <c r="L4" s="35"/>
      <c r="M4" s="35"/>
      <c r="N4" s="35"/>
      <c r="O4" s="35"/>
      <c r="P4" s="35"/>
      <c r="Q4" s="35"/>
      <c r="R4" s="35"/>
      <c r="S4" s="35"/>
      <c r="T4" s="35"/>
      <c r="U4" s="35"/>
      <c r="V4" s="35"/>
      <c r="W4" s="35"/>
      <c r="X4" s="35"/>
      <c r="Y4" s="35"/>
      <c r="Z4" s="35"/>
    </row>
    <row r="5" spans="1:26" ht="50" customHeight="1">
      <c r="A5" s="27" t="s">
        <v>87</v>
      </c>
      <c r="B5" s="10">
        <v>18</v>
      </c>
      <c r="C5" s="35"/>
      <c r="D5" s="35"/>
      <c r="E5" s="35"/>
      <c r="F5" s="35"/>
      <c r="G5" s="35"/>
      <c r="H5" s="35"/>
      <c r="I5" s="35"/>
      <c r="J5" s="35"/>
      <c r="K5" s="35"/>
      <c r="L5" s="35"/>
      <c r="M5" s="35"/>
      <c r="N5" s="35"/>
      <c r="O5" s="35"/>
      <c r="P5" s="35"/>
      <c r="Q5" s="35"/>
      <c r="R5" s="35"/>
      <c r="S5" s="35"/>
      <c r="T5" s="35"/>
      <c r="U5" s="35"/>
      <c r="V5" s="35"/>
      <c r="W5" s="35"/>
      <c r="X5" s="35"/>
      <c r="Y5" s="35"/>
      <c r="Z5" s="35"/>
    </row>
    <row r="6" spans="1:26" ht="50" customHeight="1">
      <c r="A6" s="27" t="s">
        <v>88</v>
      </c>
      <c r="B6" s="10">
        <v>6</v>
      </c>
      <c r="C6" s="35"/>
      <c r="D6" s="35"/>
      <c r="E6" s="35"/>
      <c r="F6" s="35"/>
      <c r="G6" s="35"/>
      <c r="H6" s="35"/>
      <c r="I6" s="35"/>
      <c r="J6" s="35"/>
      <c r="K6" s="35"/>
      <c r="L6" s="35"/>
      <c r="M6" s="35"/>
      <c r="N6" s="35"/>
      <c r="O6" s="35"/>
      <c r="P6" s="35"/>
      <c r="Q6" s="35"/>
      <c r="R6" s="35"/>
      <c r="S6" s="35"/>
      <c r="T6" s="35"/>
      <c r="U6" s="35"/>
      <c r="V6" s="35"/>
      <c r="W6" s="35"/>
      <c r="X6" s="35"/>
      <c r="Y6" s="35"/>
      <c r="Z6" s="35"/>
    </row>
    <row r="7" spans="1:26" ht="50" customHeight="1">
      <c r="A7" s="27" t="s">
        <v>89</v>
      </c>
      <c r="B7" s="10">
        <v>12</v>
      </c>
      <c r="C7" s="35"/>
      <c r="D7" s="35"/>
      <c r="E7" s="35"/>
      <c r="F7" s="35"/>
      <c r="G7" s="35"/>
      <c r="H7" s="35"/>
      <c r="I7" s="35"/>
      <c r="J7" s="35"/>
      <c r="K7" s="35"/>
      <c r="L7" s="35"/>
      <c r="M7" s="35"/>
      <c r="N7" s="35"/>
      <c r="O7" s="35"/>
      <c r="P7" s="35"/>
      <c r="Q7" s="35"/>
      <c r="R7" s="35"/>
      <c r="S7" s="35"/>
      <c r="T7" s="35"/>
      <c r="U7" s="35"/>
      <c r="V7" s="35"/>
      <c r="W7" s="35"/>
      <c r="X7" s="35"/>
      <c r="Y7" s="35"/>
      <c r="Z7" s="35"/>
    </row>
    <row r="8" spans="1:26" ht="50" customHeight="1" thickBot="1">
      <c r="A8" s="38" t="s">
        <v>63</v>
      </c>
      <c r="B8" s="31">
        <v>50</v>
      </c>
      <c r="C8" s="31">
        <f>SUM(C3:C7)</f>
        <v>0</v>
      </c>
      <c r="D8" s="31">
        <f t="shared" ref="D8:Z8" si="0">SUM(D3:D7)</f>
        <v>0</v>
      </c>
      <c r="E8" s="31">
        <f t="shared" si="0"/>
        <v>0</v>
      </c>
      <c r="F8" s="31">
        <f t="shared" si="0"/>
        <v>0</v>
      </c>
      <c r="G8" s="31">
        <f t="shared" si="0"/>
        <v>0</v>
      </c>
      <c r="H8" s="31">
        <f t="shared" si="0"/>
        <v>0</v>
      </c>
      <c r="I8" s="31">
        <f t="shared" si="0"/>
        <v>0</v>
      </c>
      <c r="J8" s="31">
        <f t="shared" si="0"/>
        <v>0</v>
      </c>
      <c r="K8" s="31">
        <f t="shared" si="0"/>
        <v>0</v>
      </c>
      <c r="L8" s="31">
        <f t="shared" si="0"/>
        <v>0</v>
      </c>
      <c r="M8" s="31">
        <f t="shared" si="0"/>
        <v>0</v>
      </c>
      <c r="N8" s="31">
        <f t="shared" si="0"/>
        <v>0</v>
      </c>
      <c r="O8" s="31">
        <f t="shared" si="0"/>
        <v>0</v>
      </c>
      <c r="P8" s="31">
        <f t="shared" si="0"/>
        <v>0</v>
      </c>
      <c r="Q8" s="31">
        <f t="shared" si="0"/>
        <v>0</v>
      </c>
      <c r="R8" s="31">
        <f t="shared" si="0"/>
        <v>0</v>
      </c>
      <c r="S8" s="31">
        <f t="shared" si="0"/>
        <v>0</v>
      </c>
      <c r="T8" s="31">
        <f t="shared" si="0"/>
        <v>0</v>
      </c>
      <c r="U8" s="31">
        <f t="shared" si="0"/>
        <v>0</v>
      </c>
      <c r="V8" s="31">
        <f t="shared" si="0"/>
        <v>0</v>
      </c>
      <c r="W8" s="31">
        <f t="shared" si="0"/>
        <v>0</v>
      </c>
      <c r="X8" s="31">
        <f t="shared" si="0"/>
        <v>0</v>
      </c>
      <c r="Y8" s="31">
        <f t="shared" si="0"/>
        <v>0</v>
      </c>
      <c r="Z8" s="31">
        <f t="shared" si="0"/>
        <v>0</v>
      </c>
    </row>
    <row r="9" spans="1:26" ht="50" customHeight="1">
      <c r="A9" s="32" t="s">
        <v>64</v>
      </c>
      <c r="B9" s="30">
        <v>40</v>
      </c>
      <c r="C9" s="30" t="str">
        <f>IF(C8&gt;=$B$9,"通过","未通过／未参加")</f>
        <v>未通过／未参加</v>
      </c>
      <c r="D9" s="30" t="str">
        <f t="shared" ref="D9:Z9" si="1">IF(D8&gt;=$B$9,"通过","未通过／未参加")</f>
        <v>未通过／未参加</v>
      </c>
      <c r="E9" s="30" t="str">
        <f t="shared" si="1"/>
        <v>未通过／未参加</v>
      </c>
      <c r="F9" s="30" t="str">
        <f t="shared" si="1"/>
        <v>未通过／未参加</v>
      </c>
      <c r="G9" s="30" t="str">
        <f t="shared" si="1"/>
        <v>未通过／未参加</v>
      </c>
      <c r="H9" s="30" t="str">
        <f t="shared" si="1"/>
        <v>未通过／未参加</v>
      </c>
      <c r="I9" s="30" t="str">
        <f t="shared" si="1"/>
        <v>未通过／未参加</v>
      </c>
      <c r="J9" s="30" t="str">
        <f t="shared" si="1"/>
        <v>未通过／未参加</v>
      </c>
      <c r="K9" s="30" t="str">
        <f t="shared" si="1"/>
        <v>未通过／未参加</v>
      </c>
      <c r="L9" s="30" t="str">
        <f t="shared" si="1"/>
        <v>未通过／未参加</v>
      </c>
      <c r="M9" s="30" t="str">
        <f t="shared" si="1"/>
        <v>未通过／未参加</v>
      </c>
      <c r="N9" s="30" t="str">
        <f t="shared" si="1"/>
        <v>未通过／未参加</v>
      </c>
      <c r="O9" s="30" t="str">
        <f t="shared" si="1"/>
        <v>未通过／未参加</v>
      </c>
      <c r="P9" s="30" t="str">
        <f t="shared" si="1"/>
        <v>未通过／未参加</v>
      </c>
      <c r="Q9" s="30" t="str">
        <f t="shared" si="1"/>
        <v>未通过／未参加</v>
      </c>
      <c r="R9" s="30" t="str">
        <f t="shared" si="1"/>
        <v>未通过／未参加</v>
      </c>
      <c r="S9" s="30" t="str">
        <f t="shared" si="1"/>
        <v>未通过／未参加</v>
      </c>
      <c r="T9" s="30" t="str">
        <f t="shared" si="1"/>
        <v>未通过／未参加</v>
      </c>
      <c r="U9" s="30" t="str">
        <f t="shared" si="1"/>
        <v>未通过／未参加</v>
      </c>
      <c r="V9" s="30" t="str">
        <f t="shared" si="1"/>
        <v>未通过／未参加</v>
      </c>
      <c r="W9" s="30" t="str">
        <f t="shared" si="1"/>
        <v>未通过／未参加</v>
      </c>
      <c r="X9" s="30" t="str">
        <f t="shared" si="1"/>
        <v>未通过／未参加</v>
      </c>
      <c r="Y9" s="30" t="str">
        <f t="shared" si="1"/>
        <v>未通过／未参加</v>
      </c>
      <c r="Z9" s="30" t="str">
        <f t="shared" si="1"/>
        <v>未通过／未参加</v>
      </c>
    </row>
  </sheetData>
  <sheetProtection algorithmName="SHA-512" hashValue="mPCcKKitapWeUnqaTc80xOc0dDVow5idjnSGRktXDZh8c4holPNBdOssKznIuoWM7LkbqBdeDXAneUAIsrZN6A==" saltValue="cmovHpoYbMdpyOquHzcg2A==" spinCount="100000" sheet="1" selectLockedCells="1"/>
  <mergeCells count="1">
    <mergeCell ref="A1:B1"/>
  </mergeCells>
  <conditionalFormatting sqref="C9:Z9">
    <cfRule type="cellIs" dxfId="2" priority="1" operator="equal">
      <formula>"通过"</formula>
    </cfRule>
    <cfRule type="cellIs" dxfId="1" priority="2" operator="equal">
      <formula>"PASS"</formula>
    </cfRule>
    <cfRule type="cellIs" dxfId="0" priority="3" operator="equal">
      <formula>"FAIL"</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FB1F83E32A91E643A4A0F38E27F4ACBD" ma:contentTypeVersion="12" ma:contentTypeDescription="Create a new document." ma:contentTypeScope="" ma:versionID="2ebddea7f1aa371e98864d0cc8eb9bff">
  <xsd:schema xmlns:xsd="http://www.w3.org/2001/XMLSchema" xmlns:xs="http://www.w3.org/2001/XMLSchema" xmlns:p="http://schemas.microsoft.com/office/2006/metadata/properties" xmlns:ns2="304f8657-4a39-4435-9387-9fb1900ec9db" xmlns:ns3="8a92fb56-c027-4305-a7fc-a6e91e319599" targetNamespace="http://schemas.microsoft.com/office/2006/metadata/properties" ma:root="true" ma:fieldsID="b2616316c3b6ab191f7cfb9c05bd18e4" ns2:_="" ns3:_="">
    <xsd:import namespace="304f8657-4a39-4435-9387-9fb1900ec9db"/>
    <xsd:import namespace="8a92fb56-c027-4305-a7fc-a6e91e319599"/>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4f8657-4a39-4435-9387-9fb1900ec9d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8" nillable="true" ma:displayName="Taxonomy Catch All Column" ma:hidden="true" ma:list="{1f5863a0-1633-43bb-b516-91763c346502}" ma:internalName="TaxCatchAll" ma:showField="CatchAllData" ma:web="304f8657-4a39-4435-9387-9fb1900ec9d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a92fb56-c027-4305-a7fc-a6e91e31959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2563292-bfd9-467e-a28c-11beac66254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a92fb56-c027-4305-a7fc-a6e91e319599">
      <Terms xmlns="http://schemas.microsoft.com/office/infopath/2007/PartnerControls"/>
    </lcf76f155ced4ddcb4097134ff3c332f>
    <TaxCatchAll xmlns="304f8657-4a39-4435-9387-9fb1900ec9db" xsi:nil="true"/>
    <_dlc_DocId xmlns="304f8657-4a39-4435-9387-9fb1900ec9db">NPAMPZ2U23K2-1776055988-1185</_dlc_DocId>
    <_dlc_DocIdUrl xmlns="304f8657-4a39-4435-9387-9fb1900ec9db">
      <Url>https://scacoffee365.sharepoint.com/sites/Education-CertificateProgramsLibrary/_layouts/15/DocIdRedir.aspx?ID=NPAMPZ2U23K2-1776055988-1185</Url>
      <Description>NPAMPZ2U23K2-1776055988-1185</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F93919-B95F-4582-97B3-D522332D7AF4}">
  <ds:schemaRefs>
    <ds:schemaRef ds:uri="http://schemas.microsoft.com/sharepoint/events"/>
  </ds:schemaRefs>
</ds:datastoreItem>
</file>

<file path=customXml/itemProps2.xml><?xml version="1.0" encoding="utf-8"?>
<ds:datastoreItem xmlns:ds="http://schemas.openxmlformats.org/officeDocument/2006/customXml" ds:itemID="{F0D33463-C899-4036-8C1B-03A1F50F53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4f8657-4a39-4435-9387-9fb1900ec9db"/>
    <ds:schemaRef ds:uri="8a92fb56-c027-4305-a7fc-a6e91e3195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8BBA6BA-9E0F-45C2-88C5-3CCBA1228D46}">
  <ds:schemaRefs>
    <ds:schemaRef ds:uri="http://schemas.microsoft.com/office/2006/metadata/properties"/>
    <ds:schemaRef ds:uri="http://schemas.microsoft.com/office/infopath/2007/PartnerControls"/>
    <ds:schemaRef ds:uri="8a92fb56-c027-4305-a7fc-a6e91e319599"/>
    <ds:schemaRef ds:uri="304f8657-4a39-4435-9387-9fb1900ec9db"/>
  </ds:schemaRefs>
</ds:datastoreItem>
</file>

<file path=customXml/itemProps4.xml><?xml version="1.0" encoding="utf-8"?>
<ds:datastoreItem xmlns:ds="http://schemas.openxmlformats.org/officeDocument/2006/customXml" ds:itemID="{65808F8F-8319-4535-AB63-64D5CB9725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Volunteer</vt:lpstr>
      <vt:lpstr>学员姓名</vt:lpstr>
      <vt:lpstr>结果</vt:lpstr>
      <vt:lpstr>杯测技能 (1)</vt:lpstr>
      <vt:lpstr>杯测技能 (2)</vt:lpstr>
      <vt:lpstr>物理性评估 (1)</vt:lpstr>
      <vt:lpstr>物理性评估 (2)</vt:lpstr>
      <vt:lpstr>嗅觉样品分类 (1)</vt:lpstr>
      <vt:lpstr>嗅觉样品分类 (2)</vt:lpstr>
      <vt:lpstr>描述性评估 (1)</vt:lpstr>
      <vt:lpstr>描述性评估 (2)</vt:lpstr>
      <vt:lpstr>三角杯测 (1)</vt:lpstr>
      <vt:lpstr>三角杯测 (2)</vt:lpstr>
      <vt:lpstr>烘焙问题 (1)</vt:lpstr>
      <vt:lpstr>烘焙问题 (2)</vt:lpstr>
      <vt:lpstr>基本味觉 (1)</vt:lpstr>
      <vt:lpstr>基本味觉 (2)</vt:lpstr>
      <vt:lpstr>情感性评估 (1)</vt:lpstr>
      <vt:lpstr>情感性评估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Chelsea Dubay</dc:creator>
  <cp:keywords/>
  <dc:description/>
  <cp:lastModifiedBy>Matthew Davis</cp:lastModifiedBy>
  <cp:revision/>
  <dcterms:created xsi:type="dcterms:W3CDTF">2025-08-13T19:47:42Z</dcterms:created>
  <dcterms:modified xsi:type="dcterms:W3CDTF">2025-12-10T21:42:47Z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0x010100FB1F83E32A91E643A4A0F38E27F4ACBD</vt:lpwstr>
  </property>
  <property fmtid="{D5CDD505-2E9C-101B-9397-08002B2CF9AE}" pid="3" name="_dlc_DocIdItemGuid">
    <vt:lpwstr>05d40970-764c-465c-b86d-6b57ba6e599c</vt:lpwstr>
  </property>
</Properties>
</file>